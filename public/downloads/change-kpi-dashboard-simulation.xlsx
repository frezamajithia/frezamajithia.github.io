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ashboard" sheetId="2" state="visible" r:id="rId4"/>
    <sheet name="Inputs" sheetId="3" state="visible" r:id="rId5"/>
    <sheet name="Trend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<sst xmlns="http://schemas.openxmlformats.org/spreadsheetml/2006/main" count="138" uniqueCount="86">
  <si>
    <t xml:space="preserve">Change KPI Dashboard – Enterprise GenAI &amp; Cloud Transformation (Simulation)</t>
  </si>
  <si>
    <t xml:space="preserve">Independent case study | Freza Majithia | 2026</t>
  </si>
  <si>
    <t xml:space="preserve">IMPORTANT</t>
  </si>
  <si>
    <t xml:space="preserve">All organizations, headcounts and weekly figures in this workbook are SIMULATED for illustration. Targets are proposed and would be calibrated against a real client baseline.</t>
  </si>
  <si>
    <t xml:space="preserve">Purpose</t>
  </si>
  <si>
    <t xml:space="preserve">Shows how a change team would track adoption of a generative AI productivity tool across four business departments (950 employees) during the first ~60 days of rollout, and how the data would drive decisions.</t>
  </si>
  <si>
    <t xml:space="preserve">Sheets</t>
  </si>
  <si>
    <t xml:space="preserve">Inputs – department set-up, proposed targets and weekly data (edit here).
Dashboard – KPI summary, department view, insights and charts. Choose the reporting week in cell B4.
Trends – calculation sheet that feeds the charts (no inputs).</t>
  </si>
  <si>
    <t xml:space="preserve">Colour legend</t>
  </si>
  <si>
    <t xml:space="preserve">Blue text = editable input or hardcoded sample value.  Black text = formula.  Green text = link to another sheet.  Yellow fill = the cell(s) you choose or change most often.</t>
  </si>
  <si>
    <t xml:space="preserve">KPI definitions</t>
  </si>
  <si>
    <t xml:space="preserve">Training completion = cumulative employees who completed training ÷ employees in scope.
Weekly active adoption = employees who used the tool that week ÷ employees in scope.
Average sentiment = pulse-survey score (1–5), weighted by number of responses.
Support tickets per 100 employees = tickets logged that week ÷ employees in scope × 100.</t>
  </si>
  <si>
    <t xml:space="preserve">Status logic</t>
  </si>
  <si>
    <t xml:space="preserve">On track = meets target.  At risk = within the at-risk threshold of target (default 90%, see Inputs!G9).  Off track = below that.  Ramping up = the reporting week is earlier than the week the target applies from.</t>
  </si>
  <si>
    <t xml:space="preserve">Data sources (real engagement)</t>
  </si>
  <si>
    <t xml:space="preserve">Training completion – learning platform/LMS.  Adoption – tool usage analytics (reported in aggregate only, never by individual).  Sentiment – short weekly pulse survey.  Tickets – service desk.</t>
  </si>
  <si>
    <t xml:space="preserve">Design choices</t>
  </si>
  <si>
    <t xml:space="preserve">Usage data is aggregated at department level to protect employee trust – the goal is to find where support is needed, not to monitor individuals.</t>
  </si>
  <si>
    <t xml:space="preserve">SIMULATED DATA for illustration. Targets are proposed and would be calibrated to a real client baseline.</t>
  </si>
  <si>
    <t xml:space="preserve">Reporting week (1–9):</t>
  </si>
  <si>
    <t xml:space="preserve">Change this cell to view any week. Week 9 ≈ day 60 of rollout.</t>
  </si>
  <si>
    <t xml:space="preserve">KPI</t>
  </si>
  <si>
    <t xml:space="preserve">Current</t>
  </si>
  <si>
    <t xml:space="preserve">Target</t>
  </si>
  <si>
    <t xml:space="preserve">Status</t>
  </si>
  <si>
    <t xml:space="preserve">Definition</t>
  </si>
  <si>
    <t xml:space="preserve">Training completion</t>
  </si>
  <si>
    <t xml:space="preserve">Cumulative employees trained ÷ employees in scope</t>
  </si>
  <si>
    <t xml:space="preserve">Weekly active adoption</t>
  </si>
  <si>
    <t xml:space="preserve">Employees using the tool that week ÷ employees in scope</t>
  </si>
  <si>
    <t xml:space="preserve">Average sentiment (1–5)</t>
  </si>
  <si>
    <t xml:space="preserve">Pulse-survey score weighted by responses</t>
  </si>
  <si>
    <t xml:space="preserve">Support tickets per 100 employees</t>
  </si>
  <si>
    <t xml:space="preserve">Weekly tickets ÷ employees in scope × 100 (lower is better)</t>
  </si>
  <si>
    <t xml:space="preserve">Department view – selected week</t>
  </si>
  <si>
    <t xml:space="preserve">Department</t>
  </si>
  <si>
    <t xml:space="preserve">Employees</t>
  </si>
  <si>
    <t xml:space="preserve">Champions</t>
  </si>
  <si>
    <t xml:space="preserve">Trained %</t>
  </si>
  <si>
    <t xml:space="preserve">Weekly active %</t>
  </si>
  <si>
    <t xml:space="preserve">Avg sentiment</t>
  </si>
  <si>
    <t xml:space="preserve">Tickets /100</t>
  </si>
  <si>
    <t xml:space="preserve">Adoption status</t>
  </si>
  <si>
    <t xml:space="preserve">Adoption target</t>
  </si>
  <si>
    <t xml:space="preserve">All departments</t>
  </si>
  <si>
    <t xml:space="preserve">Insights (update automatically)</t>
  </si>
  <si>
    <t xml:space="preserve">Highest adoption</t>
  </si>
  <si>
    <t xml:space="preserve">Lowest adoption</t>
  </si>
  <si>
    <t xml:space="preserve">Departments below adoption target</t>
  </si>
  <si>
    <t xml:space="preserve">Gap to target (all departments)</t>
  </si>
  <si>
    <t xml:space="preserve">Suggested focus</t>
  </si>
  <si>
    <t xml:space="preserve">Inputs – set-up, targets and weekly data</t>
  </si>
  <si>
    <t xml:space="preserve">SAMPLE DATA – simulated for illustration. Blue cells are inputs; replace with real exports in a real engagement.</t>
  </si>
  <si>
    <t xml:space="preserve">Employees in scope</t>
  </si>
  <si>
    <t xml:space="preserve">Note</t>
  </si>
  <si>
    <t xml:space="preserve">Proposed target</t>
  </si>
  <si>
    <t xml:space="preserve">Applies from week</t>
  </si>
  <si>
    <t xml:space="preserve">Direction</t>
  </si>
  <si>
    <t xml:space="preserve">Customer Service</t>
  </si>
  <si>
    <t xml:space="preserve">~1 champion per 25 employees (assumption)</t>
  </si>
  <si>
    <t xml:space="preserve">Higher is better</t>
  </si>
  <si>
    <t xml:space="preserve">Operations</t>
  </si>
  <si>
    <t xml:space="preserve">Finance</t>
  </si>
  <si>
    <t xml:space="preserve">HR</t>
  </si>
  <si>
    <t xml:space="preserve">Lower is better</t>
  </si>
  <si>
    <t xml:space="preserve">Total in scope</t>
  </si>
  <si>
    <t xml:space="preserve">Remaining ~250 of 1,200 employees (IT &amp; Cloud Engineering, leadership) are not in the Wave 1 tool rollout.</t>
  </si>
  <si>
    <t xml:space="preserve">At-risk threshold (share of target)</t>
  </si>
  <si>
    <t xml:space="preserve">Targets are illustrative proposals; week 9 ≈ day 60 of rollout. Set them against a real baseline.</t>
  </si>
  <si>
    <t xml:space="preserve">Week</t>
  </si>
  <si>
    <t xml:space="preserve">Employees trained (cumulative)</t>
  </si>
  <si>
    <t xml:space="preserve">Weekly active users</t>
  </si>
  <si>
    <t xml:space="preserve">Pulse survey responses</t>
  </si>
  <si>
    <t xml:space="preserve">Avg sentiment (1–5)</t>
  </si>
  <si>
    <t xml:space="preserve">Support tickets (that week)</t>
  </si>
  <si>
    <t xml:space="preserve">Legend</t>
  </si>
  <si>
    <t xml:space="preserve">Blue = input / sample value</t>
  </si>
  <si>
    <t xml:space="preserve">Black = formula</t>
  </si>
  <si>
    <t xml:space="preserve">Example row = Week 1, Customer Service</t>
  </si>
  <si>
    <t xml:space="preserve">Trends – calculation sheet for dashboard charts (no inputs)</t>
  </si>
  <si>
    <t xml:space="preserve">Overall adoption</t>
  </si>
  <si>
    <t xml:space="preserve">Overall training completion</t>
  </si>
  <si>
    <t xml:space="preserve">Overall sentiment</t>
  </si>
  <si>
    <t xml:space="preserve">Sentiment target</t>
  </si>
  <si>
    <t xml:space="preserve">Tickets per 100 employees</t>
  </si>
  <si>
    <t xml:space="preserve">Tickets target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</si>
</sst>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0%"/>
    <numFmt numFmtId="167" formatCode="0.00"/>
    <numFmt numFmtId="168" formatCode="0.0"/>
    <numFmt numFmtId="169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A7EBB"/>
      <rgbColor rgb="FF46AAC4"/>
      <rgbColor rgb="FF98B855"/>
      <rgbColor rgb="FFFFCC00"/>
      <rgbColor rgb="FFFF9900"/>
      <rgbColor rgb="FFFF6600"/>
      <rgbColor rgb="FF7D5FA0"/>
      <rgbColor rgb="FF969696"/>
      <rgbColor rgb="FF1F3864"/>
      <rgbColor rgb="FF4F81BD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active adoption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Trends!B4</c:f>
              <c:strCache>
                <c:ptCount val="1"/>
                <c:pt idx="0">
                  <c:v>Customer Service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Trends!$A$5:$A$13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Trends!$B$5:$B$13</c:f>
              <c:numCache>
                <c:formatCode>0.0%</c:formatCode>
                <c:ptCount val="9"/>
                <c:pt idx="0">
                  <c:v>0.0789473684210526</c:v>
                </c:pt>
                <c:pt idx="1">
                  <c:v>0.2</c:v>
                </c:pt>
                <c:pt idx="2">
                  <c:v>0.360526315789474</c:v>
                </c:pt>
                <c:pt idx="3">
                  <c:v>0.5</c:v>
                </c:pt>
                <c:pt idx="4">
                  <c:v>0.6</c:v>
                </c:pt>
                <c:pt idx="5">
                  <c:v>0.678947368421053</c:v>
                </c:pt>
                <c:pt idx="6">
                  <c:v>0.728947368421053</c:v>
                </c:pt>
                <c:pt idx="7">
                  <c:v>0.760526315789474</c:v>
                </c:pt>
                <c:pt idx="8">
                  <c:v>0.778947368421053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Trends!C4</c:f>
              <c:strCache>
                <c:ptCount val="1"/>
                <c:pt idx="0">
                  <c:v>Operations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Trends!$A$5:$A$13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Trends!$C$5:$C$13</c:f>
              <c:numCache>
                <c:formatCode>0.0%</c:formatCode>
                <c:ptCount val="9"/>
                <c:pt idx="0">
                  <c:v>0.05</c:v>
                </c:pt>
                <c:pt idx="1">
                  <c:v>0.14</c:v>
                </c:pt>
                <c:pt idx="2">
                  <c:v>0.27</c:v>
                </c:pt>
                <c:pt idx="3">
                  <c:v>0.4</c:v>
                </c:pt>
                <c:pt idx="4">
                  <c:v>0.5</c:v>
                </c:pt>
                <c:pt idx="5">
                  <c:v>0.58</c:v>
                </c:pt>
                <c:pt idx="6">
                  <c:v>0.64</c:v>
                </c:pt>
                <c:pt idx="7">
                  <c:v>0.68</c:v>
                </c:pt>
                <c:pt idx="8">
                  <c:v>0.7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Trends!D4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Trends!$A$5:$A$13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Trends!$D$5:$D$13</c:f>
              <c:numCache>
                <c:formatCode>0.0%</c:formatCode>
                <c:ptCount val="9"/>
                <c:pt idx="0">
                  <c:v>0.04</c:v>
                </c:pt>
                <c:pt idx="1">
                  <c:v>0.1</c:v>
                </c:pt>
                <c:pt idx="2">
                  <c:v>0.18</c:v>
                </c:pt>
                <c:pt idx="3">
                  <c:v>0.28</c:v>
                </c:pt>
                <c:pt idx="4">
                  <c:v>0.36</c:v>
                </c:pt>
                <c:pt idx="5">
                  <c:v>0.426666666666667</c:v>
                </c:pt>
                <c:pt idx="6">
                  <c:v>0.493333333333333</c:v>
                </c:pt>
                <c:pt idx="7">
                  <c:v>0.533333333333333</c:v>
                </c:pt>
                <c:pt idx="8">
                  <c:v>0.56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Trends!E4</c:f>
              <c:strCache>
                <c:ptCount val="1"/>
                <c:pt idx="0">
                  <c:v>HR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Trends!$A$5:$A$13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Trends!$E$5:$E$13</c:f>
              <c:numCache>
                <c:formatCode>0.0%</c:formatCode>
                <c:ptCount val="9"/>
                <c:pt idx="0">
                  <c:v>0.1</c:v>
                </c:pt>
                <c:pt idx="1">
                  <c:v>0.241666666666667</c:v>
                </c:pt>
                <c:pt idx="2">
                  <c:v>0.4</c:v>
                </c:pt>
                <c:pt idx="3">
                  <c:v>0.541666666666667</c:v>
                </c:pt>
                <c:pt idx="4">
                  <c:v>0.633333333333333</c:v>
                </c:pt>
                <c:pt idx="5">
                  <c:v>0.683333333333333</c:v>
                </c:pt>
                <c:pt idx="6">
                  <c:v>0.7</c:v>
                </c:pt>
                <c:pt idx="7">
                  <c:v>0.708333333333333</c:v>
                </c:pt>
                <c:pt idx="8">
                  <c:v>0.716666666666667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Trends!G4</c:f>
              <c:strCache>
                <c:ptCount val="1"/>
                <c:pt idx="0">
                  <c:v>Adoption target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Trends!$A$5:$A$13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Trends!$G$5:$G$13</c:f>
              <c:numCache>
                <c:formatCode>0%</c:formatCode>
                <c:ptCount val="9"/>
                <c:pt idx="0">
                  <c:v>0.75</c:v>
                </c:pt>
                <c:pt idx="1">
                  <c:v>0.75</c:v>
                </c:pt>
                <c:pt idx="2">
                  <c:v>0.75</c:v>
                </c:pt>
                <c:pt idx="3">
                  <c:v>0.75</c:v>
                </c:pt>
                <c:pt idx="4">
                  <c:v>0.75</c:v>
                </c:pt>
                <c:pt idx="5">
                  <c:v>0.75</c:v>
                </c:pt>
                <c:pt idx="6">
                  <c:v>0.75</c:v>
                </c:pt>
                <c:pt idx="7">
                  <c:v>0.75</c:v>
                </c:pt>
                <c:pt idx="8">
                  <c:v>0.75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3230517"/>
        <c:axId val="50523757"/>
      </c:lineChart>
      <c:catAx>
        <c:axId val="732305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Rollout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523757"/>
        <c:crosses val="autoZero"/>
        <c:auto val="1"/>
        <c:lblAlgn val="ctr"/>
        <c:lblOffset val="100"/>
        <c:noMultiLvlLbl val="0"/>
      </c:catAx>
      <c:valAx>
        <c:axId val="50523757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Adoption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23051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Adoption vs target – selected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Dashboard!E13</c:f>
              <c:strCache>
                <c:ptCount val="1"/>
                <c:pt idx="0">
                  <c:v>Weekly active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Dashboard!$A$14:$A$17</c:f>
              <c:strCache>
                <c:ptCount val="4"/>
                <c:pt idx="0">
                  <c:v>Customer Service</c:v>
                </c:pt>
                <c:pt idx="1">
                  <c:v>Operations</c:v>
                </c:pt>
                <c:pt idx="2">
                  <c:v>Finance</c:v>
                </c:pt>
                <c:pt idx="3">
                  <c:v>HR</c:v>
                </c:pt>
              </c:strCache>
            </c:strRef>
          </c:cat>
          <c:val>
            <c:numRef>
              <c:f>Dashboard!$E$14:$E$17</c:f>
              <c:numCache>
                <c:formatCode>0.0%</c:formatCode>
                <c:ptCount val="4"/>
                <c:pt idx="0">
                  <c:v>0.778947368421053</c:v>
                </c:pt>
                <c:pt idx="1">
                  <c:v>0.7</c:v>
                </c:pt>
                <c:pt idx="2">
                  <c:v>0.56</c:v>
                </c:pt>
                <c:pt idx="3">
                  <c:v>0.716666666666667</c:v>
                </c:pt>
              </c:numCache>
            </c:numRef>
          </c:val>
        </c:ser>
        <c:ser>
          <c:idx val="1"/>
          <c:order val="1"/>
          <c:tx>
            <c:strRef>
              <c:f>Dashboard!I13</c:f>
              <c:strCache>
                <c:ptCount val="1"/>
                <c:pt idx="0">
                  <c:v>Adoption target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Dashboard!$A$14:$A$17</c:f>
              <c:strCache>
                <c:ptCount val="4"/>
                <c:pt idx="0">
                  <c:v>Customer Service</c:v>
                </c:pt>
                <c:pt idx="1">
                  <c:v>Operations</c:v>
                </c:pt>
                <c:pt idx="2">
                  <c:v>Finance</c:v>
                </c:pt>
                <c:pt idx="3">
                  <c:v>HR</c:v>
                </c:pt>
              </c:strCache>
            </c:strRef>
          </c:cat>
          <c:val>
            <c:numRef>
              <c:f>Dashboard!$I$14:$I$17</c:f>
              <c:numCache>
                <c:formatCode>0%</c:formatCode>
                <c:ptCount val="4"/>
                <c:pt idx="0">
                  <c:v>0.75</c:v>
                </c:pt>
                <c:pt idx="1">
                  <c:v>0.75</c:v>
                </c:pt>
                <c:pt idx="2">
                  <c:v>0.75</c:v>
                </c:pt>
                <c:pt idx="3">
                  <c:v>0.75</c:v>
                </c:pt>
              </c:numCache>
            </c:numRef>
          </c:val>
        </c:ser>
        <c:gapWidth val="150"/>
        <c:overlap val="0"/>
        <c:axId val="1517519"/>
        <c:axId val="58286811"/>
      </c:barChart>
      <c:catAx>
        <c:axId val="151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286811"/>
        <c:crosses val="autoZero"/>
        <c:auto val="1"/>
        <c:lblAlgn val="ctr"/>
        <c:lblOffset val="100"/>
        <c:noMultiLvlLbl val="0"/>
      </c:catAx>
      <c:valAx>
        <c:axId val="58286811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Adoption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1751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sentiment (1–5), all departments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Trends!I4</c:f>
              <c:strCache>
                <c:ptCount val="1"/>
                <c:pt idx="0">
                  <c:v>Overall sentiment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Trends!$A$5:$A$13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Trends!$I$5:$I$13</c:f>
              <c:numCache>
                <c:formatCode>0.00</c:formatCode>
                <c:ptCount val="9"/>
                <c:pt idx="0">
                  <c:v>2.93368421052632</c:v>
                </c:pt>
                <c:pt idx="1">
                  <c:v>3.08631578947368</c:v>
                </c:pt>
                <c:pt idx="2">
                  <c:v>3.27052631578947</c:v>
                </c:pt>
                <c:pt idx="3">
                  <c:v>3.47052631578947</c:v>
                </c:pt>
                <c:pt idx="4">
                  <c:v>3.65789473684211</c:v>
                </c:pt>
                <c:pt idx="5">
                  <c:v>3.75789473684211</c:v>
                </c:pt>
                <c:pt idx="6">
                  <c:v>3.84526315789474</c:v>
                </c:pt>
                <c:pt idx="7">
                  <c:v>3.94526315789474</c:v>
                </c:pt>
                <c:pt idx="8">
                  <c:v>3.96105263157895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Trends!J4</c:f>
              <c:strCache>
                <c:ptCount val="1"/>
                <c:pt idx="0">
                  <c:v>Sentiment target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Trends!$A$5:$A$13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Trends!$J$5:$J$13</c:f>
              <c:numCache>
                <c:formatCode>0.0</c:formatCode>
                <c:ptCount val="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6529343"/>
        <c:axId val="12777122"/>
      </c:lineChart>
      <c:catAx>
        <c:axId val="765293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Rollout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77122"/>
        <c:crosses val="autoZero"/>
        <c:auto val="1"/>
        <c:lblAlgn val="ctr"/>
        <c:lblOffset val="100"/>
        <c:noMultiLvlLbl val="0"/>
      </c:catAx>
      <c:valAx>
        <c:axId val="12777122"/>
        <c:scaling>
          <c:orientation val="minMax"/>
          <c:max val="5"/>
          <c:min val="1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52934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Support tickets per 100 employees, all departments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Trends!K4</c:f>
              <c:strCache>
                <c:ptCount val="1"/>
                <c:pt idx="0">
                  <c:v>Tickets per 100 employees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Trends!$A$5:$A$13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Trends!$K$5:$K$13</c:f>
              <c:numCache>
                <c:formatCode>0.0</c:formatCode>
                <c:ptCount val="9"/>
                <c:pt idx="0">
                  <c:v>4</c:v>
                </c:pt>
                <c:pt idx="1">
                  <c:v>6.94736842105263</c:v>
                </c:pt>
                <c:pt idx="2">
                  <c:v>9.05263157894737</c:v>
                </c:pt>
                <c:pt idx="3">
                  <c:v>8</c:v>
                </c:pt>
                <c:pt idx="4">
                  <c:v>6</c:v>
                </c:pt>
                <c:pt idx="5">
                  <c:v>5.05263157894737</c:v>
                </c:pt>
                <c:pt idx="6">
                  <c:v>4</c:v>
                </c:pt>
                <c:pt idx="7">
                  <c:v>3.36842105263158</c:v>
                </c:pt>
                <c:pt idx="8">
                  <c:v>2.94736842105263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Trends!L4</c:f>
              <c:strCache>
                <c:ptCount val="1"/>
                <c:pt idx="0">
                  <c:v>Tickets target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Trends!$A$5:$A$13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Trends!$L$5:$L$13</c:f>
              <c:numCache>
                <c:formatCode>0.0</c:formatCode>
                <c:ptCount val="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0296431"/>
        <c:axId val="34478721"/>
      </c:lineChart>
      <c:catAx>
        <c:axId val="202964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Rollout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478721"/>
        <c:crosses val="autoZero"/>
        <c:auto val="1"/>
        <c:lblAlgn val="ctr"/>
        <c:lblOffset val="100"/>
        <c:noMultiLvlLbl val="0"/>
      </c:catAx>
      <c:valAx>
        <c:axId val="3447872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Tickets / 100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29643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</xdr:row>
      <xdr:rowOff>145440</xdr:rowOff>
    </xdr:from>
    <xdr:to>
      <xdr:col>4</xdr:col>
      <xdr:colOff>293400</xdr:colOff>
      <xdr:row>40</xdr:row>
      <xdr:rowOff>178200</xdr:rowOff>
    </xdr:to>
    <xdr:graphicFrame>
      <xdr:nvGraphicFramePr>
        <xdr:cNvPr id="0" name="Chart 1"/>
        <xdr:cNvGraphicFramePr/>
      </xdr:nvGraphicFramePr>
      <xdr:xfrm>
        <a:off x="0" y="533412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26</xdr:row>
      <xdr:rowOff>145440</xdr:rowOff>
    </xdr:from>
    <xdr:to>
      <xdr:col>11</xdr:col>
      <xdr:colOff>339120</xdr:colOff>
      <xdr:row>40</xdr:row>
      <xdr:rowOff>178200</xdr:rowOff>
    </xdr:to>
    <xdr:graphicFrame>
      <xdr:nvGraphicFramePr>
        <xdr:cNvPr id="1" name="Chart 2"/>
        <xdr:cNvGraphicFramePr/>
      </xdr:nvGraphicFramePr>
      <xdr:xfrm>
        <a:off x="6414120" y="533412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42</xdr:row>
      <xdr:rowOff>145440</xdr:rowOff>
    </xdr:from>
    <xdr:to>
      <xdr:col>4</xdr:col>
      <xdr:colOff>293400</xdr:colOff>
      <xdr:row>56</xdr:row>
      <xdr:rowOff>177840</xdr:rowOff>
    </xdr:to>
    <xdr:graphicFrame>
      <xdr:nvGraphicFramePr>
        <xdr:cNvPr id="2" name="Chart 3"/>
        <xdr:cNvGraphicFramePr/>
      </xdr:nvGraphicFramePr>
      <xdr:xfrm>
        <a:off x="0" y="838188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42</xdr:row>
      <xdr:rowOff>145440</xdr:rowOff>
    </xdr:from>
    <xdr:to>
      <xdr:col>11</xdr:col>
      <xdr:colOff>339120</xdr:colOff>
      <xdr:row>56</xdr:row>
      <xdr:rowOff>177840</xdr:rowOff>
    </xdr:to>
    <xdr:graphicFrame>
      <xdr:nvGraphicFramePr>
        <xdr:cNvPr id="3" name="Chart 4"/>
        <xdr:cNvGraphicFramePr/>
      </xdr:nvGraphicFramePr>
      <xdr:xfrm>
        <a:off x="6414120" y="838188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5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1.5" hidden="false" customHeight="true" outlineLevel="0" collapsed="false">
      <c r="B5" s="3" t="s">
        <v>2</v>
      </c>
      <c r="C5" s="4" t="s">
        <v>3</v>
      </c>
    </row>
    <row r="7" customFormat="false" ht="30" hidden="false" customHeight="true" outlineLevel="0" collapsed="false">
      <c r="B7" s="5" t="s">
        <v>4</v>
      </c>
      <c r="C7" s="6" t="s">
        <v>5</v>
      </c>
    </row>
    <row r="8" customFormat="false" ht="75" hidden="false" customHeight="true" outlineLevel="0" collapsed="false">
      <c r="B8" s="5" t="s">
        <v>6</v>
      </c>
      <c r="C8" s="6" t="s">
        <v>7</v>
      </c>
    </row>
    <row r="9" customFormat="false" ht="30" hidden="false" customHeight="true" outlineLevel="0" collapsed="false">
      <c r="B9" s="5" t="s">
        <v>8</v>
      </c>
      <c r="C9" s="6" t="s">
        <v>9</v>
      </c>
    </row>
    <row r="10" customFormat="false" ht="105" hidden="false" customHeight="true" outlineLevel="0" collapsed="false">
      <c r="B10" s="5" t="s">
        <v>10</v>
      </c>
      <c r="C10" s="6" t="s">
        <v>11</v>
      </c>
    </row>
    <row r="11" customFormat="false" ht="30" hidden="false" customHeight="true" outlineLevel="0" collapsed="false">
      <c r="B11" s="5" t="s">
        <v>12</v>
      </c>
      <c r="C11" s="6" t="s">
        <v>13</v>
      </c>
    </row>
    <row r="12" customFormat="false" ht="30" hidden="false" customHeight="true" outlineLevel="0" collapsed="false">
      <c r="B12" s="5" t="s">
        <v>14</v>
      </c>
      <c r="C12" s="6" t="s">
        <v>15</v>
      </c>
    </row>
    <row r="13" customFormat="false" ht="30" hidden="false" customHeight="true" outlineLevel="0" collapsed="false">
      <c r="B13" s="5" t="s">
        <v>16</v>
      </c>
      <c r="C13" s="6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14"/>
  </cols>
  <sheetData>
    <row r="1" customFormat="false" ht="18.55" hidden="false" customHeight="false" outlineLevel="0" collapsed="false">
      <c r="A1" s="7" t="s">
        <v>0</v>
      </c>
    </row>
    <row r="2" customFormat="false" ht="15" hidden="false" customHeight="false" outlineLevel="0" collapsed="false">
      <c r="A2" s="8" t="s">
        <v>18</v>
      </c>
    </row>
    <row r="4" customFormat="false" ht="15" hidden="false" customHeight="false" outlineLevel="0" collapsed="false">
      <c r="A4" s="9" t="s">
        <v>19</v>
      </c>
      <c r="B4" s="10" t="n">
        <v>9</v>
      </c>
      <c r="C4" s="11" t="s">
        <v>20</v>
      </c>
    </row>
    <row r="6" customFormat="false" ht="15" hidden="false" customHeight="false" outlineLevel="0" collapsed="false">
      <c r="A6" s="12" t="s">
        <v>21</v>
      </c>
      <c r="B6" s="12" t="s">
        <v>22</v>
      </c>
      <c r="C6" s="12" t="s">
        <v>23</v>
      </c>
      <c r="D6" s="12" t="s">
        <v>24</v>
      </c>
      <c r="E6" s="12" t="s">
        <v>25</v>
      </c>
    </row>
    <row r="7" customFormat="false" ht="15" hidden="false" customHeight="false" outlineLevel="0" collapsed="false">
      <c r="A7" s="13" t="s">
        <v>26</v>
      </c>
      <c r="B7" s="14" t="n">
        <f aca="false">D18</f>
        <v>0.951578947368421</v>
      </c>
      <c r="C7" s="15" t="n">
        <f aca="false">Inputs!G5</f>
        <v>0.9</v>
      </c>
      <c r="D7" s="16" t="str">
        <f aca="false">IF($B$4&lt;Inputs!$H$5,"Ramping up",IF(B7&gt;=C7,"On track",IF(B7&gt;=Inputs!$G$9*C7,"At risk","Off track")))</f>
        <v>On track</v>
      </c>
      <c r="E7" s="17" t="s">
        <v>27</v>
      </c>
    </row>
    <row r="8" customFormat="false" ht="15" hidden="false" customHeight="false" outlineLevel="0" collapsed="false">
      <c r="A8" s="13" t="s">
        <v>28</v>
      </c>
      <c r="B8" s="14" t="n">
        <f aca="false">E18</f>
        <v>0.711578947368421</v>
      </c>
      <c r="C8" s="15" t="n">
        <f aca="false">Inputs!G6</f>
        <v>0.75</v>
      </c>
      <c r="D8" s="16" t="str">
        <f aca="false">IF($B$4&lt;Inputs!$H$6,"Ramping up",IF(B8&gt;=C8,"On track",IF(B8&gt;=Inputs!$G$9*C8,"At risk","Off track")))</f>
        <v>At risk</v>
      </c>
      <c r="E8" s="17" t="s">
        <v>29</v>
      </c>
    </row>
    <row r="9" customFormat="false" ht="15" hidden="false" customHeight="false" outlineLevel="0" collapsed="false">
      <c r="A9" s="13" t="s">
        <v>30</v>
      </c>
      <c r="B9" s="18" t="n">
        <f aca="false">F18</f>
        <v>3.96105263157895</v>
      </c>
      <c r="C9" s="19" t="n">
        <f aca="false">Inputs!G7</f>
        <v>4</v>
      </c>
      <c r="D9" s="16" t="str">
        <f aca="false">IF($B$4&lt;Inputs!$H$7,"Ramping up",IF(B9&gt;=C9,"On track",IF(B9&gt;=Inputs!$G$9*C9,"At risk","Off track")))</f>
        <v>At risk</v>
      </c>
      <c r="E9" s="17" t="s">
        <v>31</v>
      </c>
    </row>
    <row r="10" customFormat="false" ht="15" hidden="false" customHeight="false" outlineLevel="0" collapsed="false">
      <c r="A10" s="13" t="s">
        <v>32</v>
      </c>
      <c r="B10" s="20" t="n">
        <f aca="false">G18</f>
        <v>2.94736842105263</v>
      </c>
      <c r="C10" s="21" t="n">
        <f aca="false">Inputs!G8</f>
        <v>5</v>
      </c>
      <c r="D10" s="16" t="str">
        <f aca="false">IF($B$4&lt;Inputs!$H$8,"Ramping up",IF(B10&lt;=C10,"On track",IF(B10&lt;=C10/Inputs!$G$9,"At risk","Off track")))</f>
        <v>On track</v>
      </c>
      <c r="E10" s="17" t="s">
        <v>33</v>
      </c>
    </row>
    <row r="12" customFormat="false" ht="15" hidden="false" customHeight="false" outlineLevel="0" collapsed="false">
      <c r="A12" s="22" t="s">
        <v>34</v>
      </c>
    </row>
    <row r="13" customFormat="false" ht="30" hidden="false" customHeight="true" outlineLevel="0" collapsed="false">
      <c r="A13" s="12" t="s">
        <v>35</v>
      </c>
      <c r="B13" s="12" t="s">
        <v>36</v>
      </c>
      <c r="C13" s="12" t="s">
        <v>37</v>
      </c>
      <c r="D13" s="12" t="s">
        <v>38</v>
      </c>
      <c r="E13" s="12" t="s">
        <v>39</v>
      </c>
      <c r="F13" s="12" t="s">
        <v>40</v>
      </c>
      <c r="G13" s="12" t="s">
        <v>41</v>
      </c>
      <c r="H13" s="12" t="s">
        <v>42</v>
      </c>
      <c r="I13" s="12" t="s">
        <v>43</v>
      </c>
    </row>
    <row r="14" customFormat="false" ht="15" hidden="false" customHeight="false" outlineLevel="0" collapsed="false">
      <c r="A14" s="23" t="str">
        <f aca="false">Inputs!A5</f>
        <v>Customer Service</v>
      </c>
      <c r="B14" s="24" t="n">
        <f aca="false">Inputs!B5</f>
        <v>380</v>
      </c>
      <c r="C14" s="24" t="n">
        <f aca="false">Inputs!C5</f>
        <v>15</v>
      </c>
      <c r="D14" s="14" t="n">
        <f aca="false">SUMIFS(Inputs!$C$13:$C$48,Inputs!$A$13:$A$48,$B$4,Inputs!$B$13:$B$48,$A14)/B14</f>
        <v>0.960526315789474</v>
      </c>
      <c r="E14" s="14" t="n">
        <f aca="false">SUMIFS(Inputs!$D$13:$D$48,Inputs!$A$13:$A$48,$B$4,Inputs!$B$13:$B$48,$A14)/B14</f>
        <v>0.778947368421053</v>
      </c>
      <c r="F14" s="18" t="n">
        <f aca="false">IFERROR(SUMPRODUCT((Inputs!$A$13:$A$48=$B$4)*(Inputs!$B$13:$B$48=$A14)*Inputs!$E$13:$E$48*Inputs!$F$13:$F$48)/SUMIFS(Inputs!$E$13:$E$48,Inputs!$A$13:$A$48,$B$4,Inputs!$B$13:$B$48,$A14),0)</f>
        <v>4.1</v>
      </c>
      <c r="G14" s="20" t="n">
        <f aca="false">SUMIFS(Inputs!$G$13:$G$48,Inputs!$A$13:$A$48,$B$4,Inputs!$B$13:$B$48,$A14)/B14*100</f>
        <v>2.89473684210526</v>
      </c>
      <c r="H14" s="16" t="str">
        <f aca="false">IF($B$4&lt;Inputs!$H$6,"Ramping up",IF(E14&gt;=I14,"On track",IF(E14&gt;=Inputs!$G$9*I14,"At risk","Off track")))</f>
        <v>On track</v>
      </c>
      <c r="I14" s="15" t="n">
        <f aca="false">Inputs!$G$6</f>
        <v>0.75</v>
      </c>
    </row>
    <row r="15" customFormat="false" ht="15" hidden="false" customHeight="false" outlineLevel="0" collapsed="false">
      <c r="A15" s="23" t="str">
        <f aca="false">Inputs!A6</f>
        <v>Operations</v>
      </c>
      <c r="B15" s="24" t="n">
        <f aca="false">Inputs!B6</f>
        <v>300</v>
      </c>
      <c r="C15" s="24" t="n">
        <f aca="false">Inputs!C6</f>
        <v>12</v>
      </c>
      <c r="D15" s="14" t="n">
        <f aca="false">SUMIFS(Inputs!$C$13:$C$48,Inputs!$A$13:$A$48,$B$4,Inputs!$B$13:$B$48,$A15)/B15</f>
        <v>0.95</v>
      </c>
      <c r="E15" s="14" t="n">
        <f aca="false">SUMIFS(Inputs!$D$13:$D$48,Inputs!$A$13:$A$48,$B$4,Inputs!$B$13:$B$48,$A15)/B15</f>
        <v>0.7</v>
      </c>
      <c r="F15" s="18" t="n">
        <f aca="false">IFERROR(SUMPRODUCT((Inputs!$A$13:$A$48=$B$4)*(Inputs!$B$13:$B$48=$A15)*Inputs!$E$13:$E$48*Inputs!$F$13:$F$48)/SUMIFS(Inputs!$E$13:$E$48,Inputs!$A$13:$A$48,$B$4,Inputs!$B$13:$B$48,$A15),0)</f>
        <v>3.9</v>
      </c>
      <c r="G15" s="20" t="n">
        <f aca="false">SUMIFS(Inputs!$G$13:$G$48,Inputs!$A$13:$A$48,$B$4,Inputs!$B$13:$B$48,$A15)/B15*100</f>
        <v>3</v>
      </c>
      <c r="H15" s="16" t="str">
        <f aca="false">IF($B$4&lt;Inputs!$H$6,"Ramping up",IF(E15&gt;=I15,"On track",IF(E15&gt;=Inputs!$G$9*I15,"At risk","Off track")))</f>
        <v>At risk</v>
      </c>
      <c r="I15" s="15" t="n">
        <f aca="false">Inputs!$G$6</f>
        <v>0.75</v>
      </c>
    </row>
    <row r="16" customFormat="false" ht="15" hidden="false" customHeight="false" outlineLevel="0" collapsed="false">
      <c r="A16" s="23" t="str">
        <f aca="false">Inputs!A7</f>
        <v>Finance</v>
      </c>
      <c r="B16" s="24" t="n">
        <f aca="false">Inputs!B7</f>
        <v>150</v>
      </c>
      <c r="C16" s="24" t="n">
        <f aca="false">Inputs!C7</f>
        <v>6</v>
      </c>
      <c r="D16" s="14" t="n">
        <f aca="false">SUMIFS(Inputs!$C$13:$C$48,Inputs!$A$13:$A$48,$B$4,Inputs!$B$13:$B$48,$A16)/B16</f>
        <v>0.92</v>
      </c>
      <c r="E16" s="14" t="n">
        <f aca="false">SUMIFS(Inputs!$D$13:$D$48,Inputs!$A$13:$A$48,$B$4,Inputs!$B$13:$B$48,$A16)/B16</f>
        <v>0.56</v>
      </c>
      <c r="F16" s="18" t="n">
        <f aca="false">IFERROR(SUMPRODUCT((Inputs!$A$13:$A$48=$B$4)*(Inputs!$B$13:$B$48=$A16)*Inputs!$E$13:$E$48*Inputs!$F$13:$F$48)/SUMIFS(Inputs!$E$13:$E$48,Inputs!$A$13:$A$48,$B$4,Inputs!$B$13:$B$48,$A16),0)</f>
        <v>3.7</v>
      </c>
      <c r="G16" s="20" t="n">
        <f aca="false">SUMIFS(Inputs!$G$13:$G$48,Inputs!$A$13:$A$48,$B$4,Inputs!$B$13:$B$48,$A16)/B16*100</f>
        <v>2.66666666666667</v>
      </c>
      <c r="H16" s="16" t="str">
        <f aca="false">IF($B$4&lt;Inputs!$H$6,"Ramping up",IF(E16&gt;=I16,"On track",IF(E16&gt;=Inputs!$G$9*I16,"At risk","Off track")))</f>
        <v>Off track</v>
      </c>
      <c r="I16" s="15" t="n">
        <f aca="false">Inputs!$G$6</f>
        <v>0.75</v>
      </c>
    </row>
    <row r="17" customFormat="false" ht="15" hidden="false" customHeight="false" outlineLevel="0" collapsed="false">
      <c r="A17" s="23" t="str">
        <f aca="false">Inputs!A8</f>
        <v>HR</v>
      </c>
      <c r="B17" s="24" t="n">
        <f aca="false">Inputs!B8</f>
        <v>120</v>
      </c>
      <c r="C17" s="24" t="n">
        <f aca="false">Inputs!C8</f>
        <v>5</v>
      </c>
      <c r="D17" s="14" t="n">
        <f aca="false">SUMIFS(Inputs!$C$13:$C$48,Inputs!$A$13:$A$48,$B$4,Inputs!$B$13:$B$48,$A17)/B17</f>
        <v>0.966666666666667</v>
      </c>
      <c r="E17" s="14" t="n">
        <f aca="false">SUMIFS(Inputs!$D$13:$D$48,Inputs!$A$13:$A$48,$B$4,Inputs!$B$13:$B$48,$A17)/B17</f>
        <v>0.716666666666667</v>
      </c>
      <c r="F17" s="18" t="n">
        <f aca="false">IFERROR(SUMPRODUCT((Inputs!$A$13:$A$48=$B$4)*(Inputs!$B$13:$B$48=$A17)*Inputs!$E$13:$E$48*Inputs!$F$13:$F$48)/SUMIFS(Inputs!$E$13:$E$48,Inputs!$A$13:$A$48,$B$4,Inputs!$B$13:$B$48,$A17),0)</f>
        <v>4</v>
      </c>
      <c r="G17" s="20" t="n">
        <f aca="false">SUMIFS(Inputs!$G$13:$G$48,Inputs!$A$13:$A$48,$B$4,Inputs!$B$13:$B$48,$A17)/B17*100</f>
        <v>3.33333333333333</v>
      </c>
      <c r="H17" s="16" t="str">
        <f aca="false">IF($B$4&lt;Inputs!$H$6,"Ramping up",IF(E17&gt;=I17,"On track",IF(E17&gt;=Inputs!$G$9*I17,"At risk","Off track")))</f>
        <v>At risk</v>
      </c>
      <c r="I17" s="15" t="n">
        <f aca="false">Inputs!$G$6</f>
        <v>0.75</v>
      </c>
    </row>
    <row r="18" customFormat="false" ht="15" hidden="false" customHeight="false" outlineLevel="0" collapsed="false">
      <c r="A18" s="25" t="s">
        <v>44</v>
      </c>
      <c r="B18" s="25" t="n">
        <f aca="false">SUM(B14:B17)</f>
        <v>950</v>
      </c>
      <c r="C18" s="25" t="n">
        <f aca="false">SUM(C14:C17)</f>
        <v>38</v>
      </c>
      <c r="D18" s="26" t="n">
        <f aca="false">SUMIFS(Inputs!$C$13:$C$48,Inputs!$A$13:$A$48,$B$4)/B18</f>
        <v>0.951578947368421</v>
      </c>
      <c r="E18" s="26" t="n">
        <f aca="false">SUMIFS(Inputs!$D$13:$D$48,Inputs!$A$13:$A$48,$B$4)/B18</f>
        <v>0.711578947368421</v>
      </c>
      <c r="F18" s="27" t="n">
        <f aca="false">SUMPRODUCT((Inputs!$A$13:$A$48=$B$4)*Inputs!$E$13:$E$48*Inputs!$F$13:$F$48)/SUMIFS(Inputs!$E$13:$E$48,Inputs!$A$13:$A$48,$B$4)</f>
        <v>3.96105263157895</v>
      </c>
      <c r="G18" s="28" t="n">
        <f aca="false">SUMIFS(Inputs!$G$13:$G$48,Inputs!$A$13:$A$48,$B$4)/B18*100</f>
        <v>2.94736842105263</v>
      </c>
      <c r="H18" s="29" t="str">
        <f aca="false">IF($B$4&lt;Inputs!$H$6,"Ramping up",IF(E18&gt;=I18,"On track",IF(E18&gt;=Inputs!$G$9*I18,"At risk","Off track")))</f>
        <v>At risk</v>
      </c>
      <c r="I18" s="30" t="n">
        <f aca="false">Inputs!$G$6</f>
        <v>0.75</v>
      </c>
    </row>
    <row r="20" customFormat="false" ht="15" hidden="false" customHeight="false" outlineLevel="0" collapsed="false">
      <c r="A20" s="22" t="s">
        <v>45</v>
      </c>
    </row>
    <row r="21" customFormat="false" ht="15" hidden="false" customHeight="false" outlineLevel="0" collapsed="false">
      <c r="A21" s="9" t="s">
        <v>46</v>
      </c>
      <c r="B21" s="31" t="str">
        <f aca="false">INDEX(A14:A17,MATCH(MAX(E14:E17),E14:E17,0))&amp;" ("&amp;TEXT(MAX(E14:E17),"0%")&amp;")"</f>
        <v>Customer Service (78%)</v>
      </c>
      <c r="C21" s="31"/>
      <c r="D21" s="31"/>
      <c r="E21" s="31"/>
      <c r="F21" s="31"/>
      <c r="G21" s="31"/>
      <c r="H21" s="31"/>
      <c r="I21" s="31"/>
    </row>
    <row r="22" customFormat="false" ht="15" hidden="false" customHeight="false" outlineLevel="0" collapsed="false">
      <c r="A22" s="9" t="s">
        <v>47</v>
      </c>
      <c r="B22" s="31" t="str">
        <f aca="false">INDEX(A14:A17,MATCH(MIN(E14:E17),E14:E17,0))&amp;" ("&amp;TEXT(MIN(E14:E17),"0%")&amp;")"</f>
        <v>Finance (56%)</v>
      </c>
      <c r="C22" s="31"/>
      <c r="D22" s="31"/>
      <c r="E22" s="31"/>
      <c r="F22" s="31"/>
      <c r="G22" s="31"/>
      <c r="H22" s="31"/>
      <c r="I22" s="31"/>
    </row>
    <row r="23" customFormat="false" ht="15" hidden="false" customHeight="false" outlineLevel="0" collapsed="false">
      <c r="A23" s="9" t="s">
        <v>48</v>
      </c>
      <c r="B23" s="31" t="str">
        <f aca="false">SUMPRODUCT(--(E14:E17&lt;I14:I17))&amp;" of 4"</f>
        <v>3 of 4</v>
      </c>
      <c r="C23" s="31"/>
      <c r="D23" s="31"/>
      <c r="E23" s="31"/>
      <c r="F23" s="31"/>
      <c r="G23" s="31"/>
      <c r="H23" s="31"/>
      <c r="I23" s="31"/>
    </row>
    <row r="24" customFormat="false" ht="15" hidden="false" customHeight="false" outlineLevel="0" collapsed="false">
      <c r="A24" s="9" t="s">
        <v>49</v>
      </c>
      <c r="B24" s="31" t="str">
        <f aca="false">TEXT((E18-I18)*100,"+0.0;-0.0")&amp;" percentage points vs target of "&amp;TEXT(I18,"0%")</f>
        <v>-3.8 percentage points vs target of 75%</v>
      </c>
      <c r="C24" s="31"/>
      <c r="D24" s="31"/>
      <c r="E24" s="31"/>
      <c r="F24" s="31"/>
      <c r="G24" s="31"/>
      <c r="H24" s="31"/>
      <c r="I24" s="31"/>
    </row>
    <row r="25" customFormat="false" ht="15" hidden="false" customHeight="false" outlineLevel="0" collapsed="false">
      <c r="A25" s="9" t="s">
        <v>50</v>
      </c>
      <c r="B25" s="31" t="str">
        <f aca="false">"Prioritize champion support and role-specific use-case clinics in "&amp;INDEX(A14:A17,MATCH(MIN(E14:E17),E14:E17,0))&amp;"; review what is working in "&amp;INDEX(A14:A17,MATCH(MAX(E14:E17),E14:E17,0))&amp;" and share it."</f>
        <v>Prioritize champion support and role-specific use-case clinics in Finance; review what is working in Customer Service and share it.</v>
      </c>
      <c r="C25" s="31"/>
      <c r="D25" s="31"/>
      <c r="E25" s="31"/>
      <c r="F25" s="31"/>
      <c r="G25" s="31"/>
      <c r="H25" s="31"/>
      <c r="I25" s="31"/>
    </row>
  </sheetData>
  <mergeCells count="5">
    <mergeCell ref="B21:I21"/>
    <mergeCell ref="B22:I22"/>
    <mergeCell ref="B23:I23"/>
    <mergeCell ref="B24:I24"/>
    <mergeCell ref="B25:I25"/>
  </mergeCells>
  <conditionalFormatting sqref="D7:D10">
    <cfRule type="expression" priority="2" aboveAverage="0" equalAverage="0" bottom="0" percent="0" rank="0" text="" dxfId="0">
      <formula>D7="On track"</formula>
    </cfRule>
    <cfRule type="expression" priority="3" aboveAverage="0" equalAverage="0" bottom="0" percent="0" rank="0" text="" dxfId="1">
      <formula>D7="At risk"</formula>
    </cfRule>
    <cfRule type="expression" priority="4" aboveAverage="0" equalAverage="0" bottom="0" percent="0" rank="0" text="" dxfId="2">
      <formula>D7="Off track"</formula>
    </cfRule>
    <cfRule type="expression" priority="5" aboveAverage="0" equalAverage="0" bottom="0" percent="0" rank="0" text="" dxfId="3">
      <formula>D7="Ramping up"</formula>
    </cfRule>
  </conditionalFormatting>
  <conditionalFormatting sqref="H14:H18">
    <cfRule type="expression" priority="6" aboveAverage="0" equalAverage="0" bottom="0" percent="0" rank="0" text="" dxfId="0">
      <formula>H14="On track"</formula>
    </cfRule>
    <cfRule type="expression" priority="7" aboveAverage="0" equalAverage="0" bottom="0" percent="0" rank="0" text="" dxfId="1">
      <formula>H14="At risk"</formula>
    </cfRule>
    <cfRule type="expression" priority="8" aboveAverage="0" equalAverage="0" bottom="0" percent="0" rank="0" text="" dxfId="2">
      <formula>H14="Off track"</formula>
    </cfRule>
    <cfRule type="expression" priority="9" aboveAverage="0" equalAverage="0" bottom="0" percent="0" rank="0" text="" dxfId="3">
      <formula>H14="Ramping up"</formula>
    </cfRule>
  </conditionalFormatting>
  <dataValidations count="1">
    <dataValidation allowBlank="false" errorStyle="stop" operator="between" showDropDown="false" showErrorMessage="false" showInputMessage="false" sqref="B4" type="list">
      <formula1>"1,2,3,4,5,6,7,8,9"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5" min="4" style="0" width="18"/>
    <col collapsed="false" customWidth="true" hidden="false" outlineLevel="0" max="6" min="6" style="0" width="30"/>
    <col collapsed="false" customWidth="true" hidden="false" outlineLevel="0" max="8" min="7" style="0" width="18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51</v>
      </c>
    </row>
    <row r="2" customFormat="false" ht="15" hidden="false" customHeight="false" outlineLevel="0" collapsed="false">
      <c r="A2" s="8" t="s">
        <v>52</v>
      </c>
    </row>
    <row r="4" customFormat="false" ht="15" hidden="false" customHeight="false" outlineLevel="0" collapsed="false">
      <c r="A4" s="12" t="s">
        <v>35</v>
      </c>
      <c r="B4" s="12" t="s">
        <v>53</v>
      </c>
      <c r="C4" s="12" t="s">
        <v>37</v>
      </c>
      <c r="D4" s="12" t="s">
        <v>54</v>
      </c>
      <c r="F4" s="12" t="s">
        <v>21</v>
      </c>
      <c r="G4" s="12" t="s">
        <v>55</v>
      </c>
      <c r="H4" s="12" t="s">
        <v>56</v>
      </c>
      <c r="I4" s="12" t="s">
        <v>57</v>
      </c>
    </row>
    <row r="5" customFormat="false" ht="15" hidden="false" customHeight="false" outlineLevel="0" collapsed="false">
      <c r="A5" s="32" t="s">
        <v>58</v>
      </c>
      <c r="B5" s="32" t="n">
        <v>380</v>
      </c>
      <c r="C5" s="32" t="n">
        <v>15</v>
      </c>
      <c r="D5" s="33" t="s">
        <v>59</v>
      </c>
      <c r="F5" s="34" t="s">
        <v>26</v>
      </c>
      <c r="G5" s="35" t="n">
        <v>0.9</v>
      </c>
      <c r="H5" s="32" t="n">
        <v>4</v>
      </c>
      <c r="I5" s="34" t="s">
        <v>60</v>
      </c>
    </row>
    <row r="6" customFormat="false" ht="15" hidden="false" customHeight="false" outlineLevel="0" collapsed="false">
      <c r="A6" s="32" t="s">
        <v>61</v>
      </c>
      <c r="B6" s="32" t="n">
        <v>300</v>
      </c>
      <c r="C6" s="32" t="n">
        <v>12</v>
      </c>
      <c r="D6" s="33" t="s">
        <v>59</v>
      </c>
      <c r="F6" s="34" t="s">
        <v>28</v>
      </c>
      <c r="G6" s="35" t="n">
        <v>0.75</v>
      </c>
      <c r="H6" s="32" t="n">
        <v>9</v>
      </c>
      <c r="I6" s="34" t="s">
        <v>60</v>
      </c>
    </row>
    <row r="7" customFormat="false" ht="15" hidden="false" customHeight="false" outlineLevel="0" collapsed="false">
      <c r="A7" s="32" t="s">
        <v>62</v>
      </c>
      <c r="B7" s="32" t="n">
        <v>150</v>
      </c>
      <c r="C7" s="32" t="n">
        <v>6</v>
      </c>
      <c r="D7" s="33" t="s">
        <v>59</v>
      </c>
      <c r="F7" s="34" t="s">
        <v>30</v>
      </c>
      <c r="G7" s="36" t="n">
        <v>4</v>
      </c>
      <c r="H7" s="32" t="n">
        <v>9</v>
      </c>
      <c r="I7" s="34" t="s">
        <v>60</v>
      </c>
    </row>
    <row r="8" customFormat="false" ht="15" hidden="false" customHeight="false" outlineLevel="0" collapsed="false">
      <c r="A8" s="32" t="s">
        <v>63</v>
      </c>
      <c r="B8" s="32" t="n">
        <v>120</v>
      </c>
      <c r="C8" s="32" t="n">
        <v>5</v>
      </c>
      <c r="D8" s="33" t="s">
        <v>59</v>
      </c>
      <c r="F8" s="34" t="s">
        <v>32</v>
      </c>
      <c r="G8" s="36" t="n">
        <v>5</v>
      </c>
      <c r="H8" s="32" t="n">
        <v>9</v>
      </c>
      <c r="I8" s="34" t="s">
        <v>64</v>
      </c>
    </row>
    <row r="9" customFormat="false" ht="15" hidden="false" customHeight="false" outlineLevel="0" collapsed="false">
      <c r="A9" s="37" t="s">
        <v>65</v>
      </c>
      <c r="B9" s="37" t="n">
        <f aca="false">SUM(B5:B8)</f>
        <v>950</v>
      </c>
      <c r="C9" s="37" t="n">
        <f aca="false">SUM(C5:C8)</f>
        <v>38</v>
      </c>
      <c r="D9" s="11" t="s">
        <v>66</v>
      </c>
      <c r="F9" s="34" t="s">
        <v>67</v>
      </c>
      <c r="G9" s="35" t="n">
        <v>0.9</v>
      </c>
    </row>
    <row r="10" customFormat="false" ht="15" hidden="false" customHeight="false" outlineLevel="0" collapsed="false">
      <c r="F10" s="11" t="s">
        <v>68</v>
      </c>
    </row>
    <row r="12" customFormat="false" ht="42" hidden="false" customHeight="true" outlineLevel="0" collapsed="false">
      <c r="A12" s="12" t="s">
        <v>69</v>
      </c>
      <c r="B12" s="12" t="s">
        <v>35</v>
      </c>
      <c r="C12" s="12" t="s">
        <v>70</v>
      </c>
      <c r="D12" s="12" t="s">
        <v>71</v>
      </c>
      <c r="E12" s="12" t="s">
        <v>72</v>
      </c>
      <c r="F12" s="12" t="s">
        <v>73</v>
      </c>
      <c r="G12" s="12" t="s">
        <v>74</v>
      </c>
      <c r="I12" s="9" t="s">
        <v>75</v>
      </c>
    </row>
    <row r="13" customFormat="false" ht="15" hidden="false" customHeight="false" outlineLevel="0" collapsed="false">
      <c r="A13" s="32" t="n">
        <v>1</v>
      </c>
      <c r="B13" s="32" t="s">
        <v>58</v>
      </c>
      <c r="C13" s="32" t="n">
        <v>76</v>
      </c>
      <c r="D13" s="32" t="n">
        <v>30</v>
      </c>
      <c r="E13" s="32" t="n">
        <v>152</v>
      </c>
      <c r="F13" s="36" t="n">
        <v>3</v>
      </c>
      <c r="G13" s="32" t="n">
        <v>15</v>
      </c>
      <c r="I13" s="38" t="s">
        <v>76</v>
      </c>
    </row>
    <row r="14" customFormat="false" ht="15" hidden="false" customHeight="false" outlineLevel="0" collapsed="false">
      <c r="A14" s="32" t="n">
        <v>1</v>
      </c>
      <c r="B14" s="32" t="s">
        <v>61</v>
      </c>
      <c r="C14" s="32" t="n">
        <v>45</v>
      </c>
      <c r="D14" s="32" t="n">
        <v>15</v>
      </c>
      <c r="E14" s="32" t="n">
        <v>120</v>
      </c>
      <c r="F14" s="36" t="n">
        <v>2.9</v>
      </c>
      <c r="G14" s="32" t="n">
        <v>12</v>
      </c>
      <c r="I14" s="39" t="s">
        <v>77</v>
      </c>
    </row>
    <row r="15" customFormat="false" ht="15" hidden="false" customHeight="false" outlineLevel="0" collapsed="false">
      <c r="A15" s="32" t="n">
        <v>1</v>
      </c>
      <c r="B15" s="32" t="s">
        <v>62</v>
      </c>
      <c r="C15" s="32" t="n">
        <v>27</v>
      </c>
      <c r="D15" s="32" t="n">
        <v>6</v>
      </c>
      <c r="E15" s="32" t="n">
        <v>60</v>
      </c>
      <c r="F15" s="36" t="n">
        <v>2.7</v>
      </c>
      <c r="G15" s="32" t="n">
        <v>6</v>
      </c>
      <c r="I15" s="11" t="s">
        <v>78</v>
      </c>
    </row>
    <row r="16" customFormat="false" ht="15" hidden="false" customHeight="false" outlineLevel="0" collapsed="false">
      <c r="A16" s="32" t="n">
        <v>1</v>
      </c>
      <c r="B16" s="32" t="s">
        <v>63</v>
      </c>
      <c r="C16" s="32" t="n">
        <v>30</v>
      </c>
      <c r="D16" s="32" t="n">
        <v>12</v>
      </c>
      <c r="E16" s="32" t="n">
        <v>48</v>
      </c>
      <c r="F16" s="36" t="n">
        <v>3.1</v>
      </c>
      <c r="G16" s="32" t="n">
        <v>5</v>
      </c>
    </row>
    <row r="17" customFormat="false" ht="15" hidden="false" customHeight="false" outlineLevel="0" collapsed="false">
      <c r="A17" s="32" t="n">
        <v>2</v>
      </c>
      <c r="B17" s="32" t="s">
        <v>58</v>
      </c>
      <c r="C17" s="32" t="n">
        <v>190</v>
      </c>
      <c r="D17" s="32" t="n">
        <v>76</v>
      </c>
      <c r="E17" s="32" t="n">
        <v>152</v>
      </c>
      <c r="F17" s="36" t="n">
        <v>3.2</v>
      </c>
      <c r="G17" s="32" t="n">
        <v>27</v>
      </c>
    </row>
    <row r="18" customFormat="false" ht="15" hidden="false" customHeight="false" outlineLevel="0" collapsed="false">
      <c r="A18" s="32" t="n">
        <v>2</v>
      </c>
      <c r="B18" s="32" t="s">
        <v>61</v>
      </c>
      <c r="C18" s="32" t="n">
        <v>126</v>
      </c>
      <c r="D18" s="32" t="n">
        <v>42</v>
      </c>
      <c r="E18" s="32" t="n">
        <v>120</v>
      </c>
      <c r="F18" s="36" t="n">
        <v>3</v>
      </c>
      <c r="G18" s="32" t="n">
        <v>21</v>
      </c>
    </row>
    <row r="19" customFormat="false" ht="15" hidden="false" customHeight="false" outlineLevel="0" collapsed="false">
      <c r="A19" s="32" t="n">
        <v>2</v>
      </c>
      <c r="B19" s="32" t="s">
        <v>62</v>
      </c>
      <c r="C19" s="32" t="n">
        <v>68</v>
      </c>
      <c r="D19" s="32" t="n">
        <v>15</v>
      </c>
      <c r="E19" s="32" t="n">
        <v>60</v>
      </c>
      <c r="F19" s="36" t="n">
        <v>2.8</v>
      </c>
      <c r="G19" s="32" t="n">
        <v>10</v>
      </c>
    </row>
    <row r="20" customFormat="false" ht="15" hidden="false" customHeight="false" outlineLevel="0" collapsed="false">
      <c r="A20" s="32" t="n">
        <v>2</v>
      </c>
      <c r="B20" s="32" t="s">
        <v>63</v>
      </c>
      <c r="C20" s="32" t="n">
        <v>72</v>
      </c>
      <c r="D20" s="32" t="n">
        <v>29</v>
      </c>
      <c r="E20" s="32" t="n">
        <v>48</v>
      </c>
      <c r="F20" s="36" t="n">
        <v>3.3</v>
      </c>
      <c r="G20" s="32" t="n">
        <v>8</v>
      </c>
    </row>
    <row r="21" customFormat="false" ht="15" hidden="false" customHeight="false" outlineLevel="0" collapsed="false">
      <c r="A21" s="32" t="n">
        <v>3</v>
      </c>
      <c r="B21" s="32" t="s">
        <v>58</v>
      </c>
      <c r="C21" s="32" t="n">
        <v>296</v>
      </c>
      <c r="D21" s="32" t="n">
        <v>137</v>
      </c>
      <c r="E21" s="32" t="n">
        <v>152</v>
      </c>
      <c r="F21" s="36" t="n">
        <v>3.4</v>
      </c>
      <c r="G21" s="32" t="n">
        <v>34</v>
      </c>
    </row>
    <row r="22" customFormat="false" ht="15" hidden="false" customHeight="false" outlineLevel="0" collapsed="false">
      <c r="A22" s="32" t="n">
        <v>3</v>
      </c>
      <c r="B22" s="32" t="s">
        <v>61</v>
      </c>
      <c r="C22" s="32" t="n">
        <v>210</v>
      </c>
      <c r="D22" s="32" t="n">
        <v>81</v>
      </c>
      <c r="E22" s="32" t="n">
        <v>120</v>
      </c>
      <c r="F22" s="36" t="n">
        <v>3.2</v>
      </c>
      <c r="G22" s="32" t="n">
        <v>27</v>
      </c>
    </row>
    <row r="23" customFormat="false" ht="15" hidden="false" customHeight="false" outlineLevel="0" collapsed="false">
      <c r="A23" s="32" t="n">
        <v>3</v>
      </c>
      <c r="B23" s="32" t="s">
        <v>62</v>
      </c>
      <c r="C23" s="32" t="n">
        <v>99</v>
      </c>
      <c r="D23" s="32" t="n">
        <v>27</v>
      </c>
      <c r="E23" s="32" t="n">
        <v>60</v>
      </c>
      <c r="F23" s="36" t="n">
        <v>2.9</v>
      </c>
      <c r="G23" s="32" t="n">
        <v>14</v>
      </c>
    </row>
    <row r="24" customFormat="false" ht="15" hidden="false" customHeight="false" outlineLevel="0" collapsed="false">
      <c r="A24" s="32" t="n">
        <v>3</v>
      </c>
      <c r="B24" s="32" t="s">
        <v>63</v>
      </c>
      <c r="C24" s="32" t="n">
        <v>102</v>
      </c>
      <c r="D24" s="32" t="n">
        <v>48</v>
      </c>
      <c r="E24" s="32" t="n">
        <v>48</v>
      </c>
      <c r="F24" s="36" t="n">
        <v>3.5</v>
      </c>
      <c r="G24" s="32" t="n">
        <v>11</v>
      </c>
    </row>
    <row r="25" customFormat="false" ht="15" hidden="false" customHeight="false" outlineLevel="0" collapsed="false">
      <c r="A25" s="32" t="n">
        <v>4</v>
      </c>
      <c r="B25" s="32" t="s">
        <v>58</v>
      </c>
      <c r="C25" s="32" t="n">
        <v>353</v>
      </c>
      <c r="D25" s="32" t="n">
        <v>190</v>
      </c>
      <c r="E25" s="32" t="n">
        <v>152</v>
      </c>
      <c r="F25" s="36" t="n">
        <v>3.6</v>
      </c>
      <c r="G25" s="32" t="n">
        <v>30</v>
      </c>
    </row>
    <row r="26" customFormat="false" ht="15" hidden="false" customHeight="false" outlineLevel="0" collapsed="false">
      <c r="A26" s="32" t="n">
        <v>4</v>
      </c>
      <c r="B26" s="32" t="s">
        <v>61</v>
      </c>
      <c r="C26" s="32" t="n">
        <v>270</v>
      </c>
      <c r="D26" s="32" t="n">
        <v>120</v>
      </c>
      <c r="E26" s="32" t="n">
        <v>120</v>
      </c>
      <c r="F26" s="36" t="n">
        <v>3.4</v>
      </c>
      <c r="G26" s="32" t="n">
        <v>24</v>
      </c>
    </row>
    <row r="27" customFormat="false" ht="15" hidden="false" customHeight="false" outlineLevel="0" collapsed="false">
      <c r="A27" s="32" t="n">
        <v>4</v>
      </c>
      <c r="B27" s="32" t="s">
        <v>62</v>
      </c>
      <c r="C27" s="32" t="n">
        <v>123</v>
      </c>
      <c r="D27" s="32" t="n">
        <v>42</v>
      </c>
      <c r="E27" s="32" t="n">
        <v>60</v>
      </c>
      <c r="F27" s="36" t="n">
        <v>3.1</v>
      </c>
      <c r="G27" s="32" t="n">
        <v>12</v>
      </c>
    </row>
    <row r="28" customFormat="false" ht="15" hidden="false" customHeight="false" outlineLevel="0" collapsed="false">
      <c r="A28" s="32" t="n">
        <v>4</v>
      </c>
      <c r="B28" s="32" t="s">
        <v>63</v>
      </c>
      <c r="C28" s="32" t="n">
        <v>114</v>
      </c>
      <c r="D28" s="32" t="n">
        <v>65</v>
      </c>
      <c r="E28" s="32" t="n">
        <v>48</v>
      </c>
      <c r="F28" s="36" t="n">
        <v>3.7</v>
      </c>
      <c r="G28" s="32" t="n">
        <v>10</v>
      </c>
    </row>
    <row r="29" customFormat="false" ht="15" hidden="false" customHeight="false" outlineLevel="0" collapsed="false">
      <c r="A29" s="32" t="n">
        <v>5</v>
      </c>
      <c r="B29" s="32" t="s">
        <v>58</v>
      </c>
      <c r="C29" s="32" t="n">
        <v>361</v>
      </c>
      <c r="D29" s="32" t="n">
        <v>228</v>
      </c>
      <c r="E29" s="32" t="n">
        <v>152</v>
      </c>
      <c r="F29" s="36" t="n">
        <v>3.8</v>
      </c>
      <c r="G29" s="32" t="n">
        <v>23</v>
      </c>
    </row>
    <row r="30" customFormat="false" ht="15" hidden="false" customHeight="false" outlineLevel="0" collapsed="false">
      <c r="A30" s="32" t="n">
        <v>5</v>
      </c>
      <c r="B30" s="32" t="s">
        <v>61</v>
      </c>
      <c r="C30" s="32" t="n">
        <v>279</v>
      </c>
      <c r="D30" s="32" t="n">
        <v>150</v>
      </c>
      <c r="E30" s="32" t="n">
        <v>120</v>
      </c>
      <c r="F30" s="36" t="n">
        <v>3.6</v>
      </c>
      <c r="G30" s="32" t="n">
        <v>18</v>
      </c>
    </row>
    <row r="31" customFormat="false" ht="15" hidden="false" customHeight="false" outlineLevel="0" collapsed="false">
      <c r="A31" s="32" t="n">
        <v>5</v>
      </c>
      <c r="B31" s="32" t="s">
        <v>62</v>
      </c>
      <c r="C31" s="32" t="n">
        <v>132</v>
      </c>
      <c r="D31" s="32" t="n">
        <v>54</v>
      </c>
      <c r="E31" s="32" t="n">
        <v>60</v>
      </c>
      <c r="F31" s="36" t="n">
        <v>3.3</v>
      </c>
      <c r="G31" s="32" t="n">
        <v>9</v>
      </c>
    </row>
    <row r="32" customFormat="false" ht="15" hidden="false" customHeight="false" outlineLevel="0" collapsed="false">
      <c r="A32" s="32" t="n">
        <v>5</v>
      </c>
      <c r="B32" s="32" t="s">
        <v>63</v>
      </c>
      <c r="C32" s="32" t="n">
        <v>115</v>
      </c>
      <c r="D32" s="32" t="n">
        <v>76</v>
      </c>
      <c r="E32" s="32" t="n">
        <v>48</v>
      </c>
      <c r="F32" s="36" t="n">
        <v>3.8</v>
      </c>
      <c r="G32" s="32" t="n">
        <v>7</v>
      </c>
    </row>
    <row r="33" customFormat="false" ht="15" hidden="false" customHeight="false" outlineLevel="0" collapsed="false">
      <c r="A33" s="32" t="n">
        <v>6</v>
      </c>
      <c r="B33" s="32" t="s">
        <v>58</v>
      </c>
      <c r="C33" s="32" t="n">
        <v>361</v>
      </c>
      <c r="D33" s="32" t="n">
        <v>258</v>
      </c>
      <c r="E33" s="32" t="n">
        <v>152</v>
      </c>
      <c r="F33" s="36" t="n">
        <v>3.9</v>
      </c>
      <c r="G33" s="32" t="n">
        <v>19</v>
      </c>
    </row>
    <row r="34" customFormat="false" ht="15" hidden="false" customHeight="false" outlineLevel="0" collapsed="false">
      <c r="A34" s="32" t="n">
        <v>6</v>
      </c>
      <c r="B34" s="32" t="s">
        <v>61</v>
      </c>
      <c r="C34" s="32" t="n">
        <v>282</v>
      </c>
      <c r="D34" s="32" t="n">
        <v>174</v>
      </c>
      <c r="E34" s="32" t="n">
        <v>120</v>
      </c>
      <c r="F34" s="36" t="n">
        <v>3.7</v>
      </c>
      <c r="G34" s="32" t="n">
        <v>15</v>
      </c>
    </row>
    <row r="35" customFormat="false" ht="15" hidden="false" customHeight="false" outlineLevel="0" collapsed="false">
      <c r="A35" s="32" t="n">
        <v>6</v>
      </c>
      <c r="B35" s="32" t="s">
        <v>62</v>
      </c>
      <c r="C35" s="32" t="n">
        <v>135</v>
      </c>
      <c r="D35" s="32" t="n">
        <v>64</v>
      </c>
      <c r="E35" s="32" t="n">
        <v>60</v>
      </c>
      <c r="F35" s="36" t="n">
        <v>3.4</v>
      </c>
      <c r="G35" s="32" t="n">
        <v>8</v>
      </c>
    </row>
    <row r="36" customFormat="false" ht="15" hidden="false" customHeight="false" outlineLevel="0" collapsed="false">
      <c r="A36" s="32" t="n">
        <v>6</v>
      </c>
      <c r="B36" s="32" t="s">
        <v>63</v>
      </c>
      <c r="C36" s="32" t="n">
        <v>115</v>
      </c>
      <c r="D36" s="32" t="n">
        <v>82</v>
      </c>
      <c r="E36" s="32" t="n">
        <v>48</v>
      </c>
      <c r="F36" s="36" t="n">
        <v>3.9</v>
      </c>
      <c r="G36" s="32" t="n">
        <v>6</v>
      </c>
    </row>
    <row r="37" customFormat="false" ht="15" hidden="false" customHeight="false" outlineLevel="0" collapsed="false">
      <c r="A37" s="32" t="n">
        <v>7</v>
      </c>
      <c r="B37" s="32" t="s">
        <v>58</v>
      </c>
      <c r="C37" s="32" t="n">
        <v>365</v>
      </c>
      <c r="D37" s="32" t="n">
        <v>277</v>
      </c>
      <c r="E37" s="32" t="n">
        <v>152</v>
      </c>
      <c r="F37" s="36" t="n">
        <v>4</v>
      </c>
      <c r="G37" s="32" t="n">
        <v>15</v>
      </c>
    </row>
    <row r="38" customFormat="false" ht="15" hidden="false" customHeight="false" outlineLevel="0" collapsed="false">
      <c r="A38" s="32" t="n">
        <v>7</v>
      </c>
      <c r="B38" s="32" t="s">
        <v>61</v>
      </c>
      <c r="C38" s="32" t="n">
        <v>282</v>
      </c>
      <c r="D38" s="32" t="n">
        <v>192</v>
      </c>
      <c r="E38" s="32" t="n">
        <v>120</v>
      </c>
      <c r="F38" s="36" t="n">
        <v>3.8</v>
      </c>
      <c r="G38" s="32" t="n">
        <v>12</v>
      </c>
    </row>
    <row r="39" customFormat="false" ht="15" hidden="false" customHeight="false" outlineLevel="0" collapsed="false">
      <c r="A39" s="32" t="n">
        <v>7</v>
      </c>
      <c r="B39" s="32" t="s">
        <v>62</v>
      </c>
      <c r="C39" s="32" t="n">
        <v>136</v>
      </c>
      <c r="D39" s="32" t="n">
        <v>74</v>
      </c>
      <c r="E39" s="32" t="n">
        <v>60</v>
      </c>
      <c r="F39" s="36" t="n">
        <v>3.5</v>
      </c>
      <c r="G39" s="32" t="n">
        <v>6</v>
      </c>
    </row>
    <row r="40" customFormat="false" ht="15" hidden="false" customHeight="false" outlineLevel="0" collapsed="false">
      <c r="A40" s="32" t="n">
        <v>7</v>
      </c>
      <c r="B40" s="32" t="s">
        <v>63</v>
      </c>
      <c r="C40" s="32" t="n">
        <v>116</v>
      </c>
      <c r="D40" s="32" t="n">
        <v>84</v>
      </c>
      <c r="E40" s="32" t="n">
        <v>48</v>
      </c>
      <c r="F40" s="36" t="n">
        <v>3.9</v>
      </c>
      <c r="G40" s="32" t="n">
        <v>5</v>
      </c>
    </row>
    <row r="41" customFormat="false" ht="15" hidden="false" customHeight="false" outlineLevel="0" collapsed="false">
      <c r="A41" s="32" t="n">
        <v>8</v>
      </c>
      <c r="B41" s="32" t="s">
        <v>58</v>
      </c>
      <c r="C41" s="32" t="n">
        <v>365</v>
      </c>
      <c r="D41" s="32" t="n">
        <v>289</v>
      </c>
      <c r="E41" s="32" t="n">
        <v>152</v>
      </c>
      <c r="F41" s="36" t="n">
        <v>4.1</v>
      </c>
      <c r="G41" s="32" t="n">
        <v>13</v>
      </c>
    </row>
    <row r="42" customFormat="false" ht="15" hidden="false" customHeight="false" outlineLevel="0" collapsed="false">
      <c r="A42" s="32" t="n">
        <v>8</v>
      </c>
      <c r="B42" s="32" t="s">
        <v>61</v>
      </c>
      <c r="C42" s="32" t="n">
        <v>285</v>
      </c>
      <c r="D42" s="32" t="n">
        <v>204</v>
      </c>
      <c r="E42" s="32" t="n">
        <v>120</v>
      </c>
      <c r="F42" s="36" t="n">
        <v>3.9</v>
      </c>
      <c r="G42" s="32" t="n">
        <v>10</v>
      </c>
    </row>
    <row r="43" customFormat="false" ht="15" hidden="false" customHeight="false" outlineLevel="0" collapsed="false">
      <c r="A43" s="32" t="n">
        <v>8</v>
      </c>
      <c r="B43" s="32" t="s">
        <v>62</v>
      </c>
      <c r="C43" s="32" t="n">
        <v>138</v>
      </c>
      <c r="D43" s="32" t="n">
        <v>80</v>
      </c>
      <c r="E43" s="32" t="n">
        <v>60</v>
      </c>
      <c r="F43" s="36" t="n">
        <v>3.6</v>
      </c>
      <c r="G43" s="32" t="n">
        <v>5</v>
      </c>
    </row>
    <row r="44" customFormat="false" ht="15" hidden="false" customHeight="false" outlineLevel="0" collapsed="false">
      <c r="A44" s="32" t="n">
        <v>8</v>
      </c>
      <c r="B44" s="32" t="s">
        <v>63</v>
      </c>
      <c r="C44" s="32" t="n">
        <v>116</v>
      </c>
      <c r="D44" s="32" t="n">
        <v>85</v>
      </c>
      <c r="E44" s="32" t="n">
        <v>48</v>
      </c>
      <c r="F44" s="36" t="n">
        <v>4</v>
      </c>
      <c r="G44" s="32" t="n">
        <v>4</v>
      </c>
    </row>
    <row r="45" customFormat="false" ht="15" hidden="false" customHeight="false" outlineLevel="0" collapsed="false">
      <c r="A45" s="32" t="n">
        <v>9</v>
      </c>
      <c r="B45" s="32" t="s">
        <v>58</v>
      </c>
      <c r="C45" s="32" t="n">
        <v>365</v>
      </c>
      <c r="D45" s="32" t="n">
        <v>296</v>
      </c>
      <c r="E45" s="32" t="n">
        <v>152</v>
      </c>
      <c r="F45" s="36" t="n">
        <v>4.1</v>
      </c>
      <c r="G45" s="32" t="n">
        <v>11</v>
      </c>
    </row>
    <row r="46" customFormat="false" ht="15" hidden="false" customHeight="false" outlineLevel="0" collapsed="false">
      <c r="A46" s="32" t="n">
        <v>9</v>
      </c>
      <c r="B46" s="32" t="s">
        <v>61</v>
      </c>
      <c r="C46" s="32" t="n">
        <v>285</v>
      </c>
      <c r="D46" s="32" t="n">
        <v>210</v>
      </c>
      <c r="E46" s="32" t="n">
        <v>120</v>
      </c>
      <c r="F46" s="36" t="n">
        <v>3.9</v>
      </c>
      <c r="G46" s="32" t="n">
        <v>9</v>
      </c>
    </row>
    <row r="47" customFormat="false" ht="15" hidden="false" customHeight="false" outlineLevel="0" collapsed="false">
      <c r="A47" s="32" t="n">
        <v>9</v>
      </c>
      <c r="B47" s="32" t="s">
        <v>62</v>
      </c>
      <c r="C47" s="32" t="n">
        <v>138</v>
      </c>
      <c r="D47" s="32" t="n">
        <v>84</v>
      </c>
      <c r="E47" s="32" t="n">
        <v>60</v>
      </c>
      <c r="F47" s="36" t="n">
        <v>3.7</v>
      </c>
      <c r="G47" s="32" t="n">
        <v>4</v>
      </c>
    </row>
    <row r="48" customFormat="false" ht="15" hidden="false" customHeight="false" outlineLevel="0" collapsed="false">
      <c r="A48" s="32" t="n">
        <v>9</v>
      </c>
      <c r="B48" s="32" t="s">
        <v>63</v>
      </c>
      <c r="C48" s="32" t="n">
        <v>116</v>
      </c>
      <c r="D48" s="32" t="n">
        <v>86</v>
      </c>
      <c r="E48" s="32" t="n">
        <v>48</v>
      </c>
      <c r="F48" s="36" t="n">
        <v>4</v>
      </c>
      <c r="G48" s="32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6"/>
  </cols>
  <sheetData>
    <row r="1" customFormat="false" ht="17.35" hidden="false" customHeight="false" outlineLevel="0" collapsed="false">
      <c r="A1" s="1" t="s">
        <v>79</v>
      </c>
    </row>
    <row r="4" customFormat="false" ht="42" hidden="false" customHeight="true" outlineLevel="0" collapsed="false">
      <c r="A4" s="12" t="s">
        <v>69</v>
      </c>
      <c r="B4" s="12" t="str">
        <f aca="false">Inputs!A5</f>
        <v>Customer Service</v>
      </c>
      <c r="C4" s="12" t="str">
        <f aca="false">Inputs!A6</f>
        <v>Operations</v>
      </c>
      <c r="D4" s="12" t="str">
        <f aca="false">Inputs!A7</f>
        <v>Finance</v>
      </c>
      <c r="E4" s="12" t="str">
        <f aca="false">Inputs!A8</f>
        <v>HR</v>
      </c>
      <c r="F4" s="12" t="s">
        <v>80</v>
      </c>
      <c r="G4" s="12" t="s">
        <v>43</v>
      </c>
      <c r="H4" s="12" t="s">
        <v>81</v>
      </c>
      <c r="I4" s="12" t="s">
        <v>82</v>
      </c>
      <c r="J4" s="12" t="s">
        <v>83</v>
      </c>
      <c r="K4" s="12" t="s">
        <v>84</v>
      </c>
      <c r="L4" s="12" t="s">
        <v>85</v>
      </c>
    </row>
    <row r="5" customFormat="false" ht="15" hidden="false" customHeight="false" outlineLevel="0" collapsed="false">
      <c r="A5" s="32" t="n">
        <v>1</v>
      </c>
      <c r="B5" s="40" t="n">
        <f aca="false">SUMIFS(Inputs!$D$13:$D$48,Inputs!$A$13:$A$48,$A5,Inputs!$B$13:$B$48,B$4)/INDEX(Inputs!$B$5:$B$8,MATCH(B$4,Inputs!$A$5:$A$8,0))</f>
        <v>0.0789473684210526</v>
      </c>
      <c r="C5" s="40" t="n">
        <f aca="false">SUMIFS(Inputs!$D$13:$D$48,Inputs!$A$13:$A$48,$A5,Inputs!$B$13:$B$48,C$4)/INDEX(Inputs!$B$5:$B$8,MATCH(C$4,Inputs!$A$5:$A$8,0))</f>
        <v>0.05</v>
      </c>
      <c r="D5" s="40" t="n">
        <f aca="false">SUMIFS(Inputs!$D$13:$D$48,Inputs!$A$13:$A$48,$A5,Inputs!$B$13:$B$48,D$4)/INDEX(Inputs!$B$5:$B$8,MATCH(D$4,Inputs!$A$5:$A$8,0))</f>
        <v>0.04</v>
      </c>
      <c r="E5" s="40" t="n">
        <f aca="false">SUMIFS(Inputs!$D$13:$D$48,Inputs!$A$13:$A$48,$A5,Inputs!$B$13:$B$48,E$4)/INDEX(Inputs!$B$5:$B$8,MATCH(E$4,Inputs!$A$5:$A$8,0))</f>
        <v>0.1</v>
      </c>
      <c r="F5" s="40" t="n">
        <f aca="false">SUMIFS(Inputs!$D$13:$D$48,Inputs!$A$13:$A$48,$A5)/Inputs!$B$9</f>
        <v>0.0663157894736842</v>
      </c>
      <c r="G5" s="15" t="n">
        <f aca="false">Inputs!$G$6</f>
        <v>0.75</v>
      </c>
      <c r="H5" s="40" t="n">
        <f aca="false">SUMIFS(Inputs!$C$13:$C$48,Inputs!$A$13:$A$48,$A5)/Inputs!$B$9</f>
        <v>0.187368421052632</v>
      </c>
      <c r="I5" s="41" t="n">
        <f aca="false">SUMPRODUCT((Inputs!$A$13:$A$48=$A5)*Inputs!$E$13:$E$48*Inputs!$F$13:$F$48)/SUMIFS(Inputs!$E$13:$E$48,Inputs!$A$13:$A$48,$A5)</f>
        <v>2.93368421052632</v>
      </c>
      <c r="J5" s="21" t="n">
        <f aca="false">Inputs!$G$7</f>
        <v>4</v>
      </c>
      <c r="K5" s="42" t="n">
        <f aca="false">SUMIFS(Inputs!$G$13:$G$48,Inputs!$A$13:$A$48,$A5)/Inputs!$B$9*100</f>
        <v>4</v>
      </c>
      <c r="L5" s="21" t="n">
        <f aca="false">Inputs!$G$8</f>
        <v>5</v>
      </c>
    </row>
    <row r="6" customFormat="false" ht="15" hidden="false" customHeight="false" outlineLevel="0" collapsed="false">
      <c r="A6" s="32" t="n">
        <v>2</v>
      </c>
      <c r="B6" s="40" t="n">
        <f aca="false">SUMIFS(Inputs!$D$13:$D$48,Inputs!$A$13:$A$48,$A6,Inputs!$B$13:$B$48,B$4)/INDEX(Inputs!$B$5:$B$8,MATCH(B$4,Inputs!$A$5:$A$8,0))</f>
        <v>0.2</v>
      </c>
      <c r="C6" s="40" t="n">
        <f aca="false">SUMIFS(Inputs!$D$13:$D$48,Inputs!$A$13:$A$48,$A6,Inputs!$B$13:$B$48,C$4)/INDEX(Inputs!$B$5:$B$8,MATCH(C$4,Inputs!$A$5:$A$8,0))</f>
        <v>0.14</v>
      </c>
      <c r="D6" s="40" t="n">
        <f aca="false">SUMIFS(Inputs!$D$13:$D$48,Inputs!$A$13:$A$48,$A6,Inputs!$B$13:$B$48,D$4)/INDEX(Inputs!$B$5:$B$8,MATCH(D$4,Inputs!$A$5:$A$8,0))</f>
        <v>0.1</v>
      </c>
      <c r="E6" s="40" t="n">
        <f aca="false">SUMIFS(Inputs!$D$13:$D$48,Inputs!$A$13:$A$48,$A6,Inputs!$B$13:$B$48,E$4)/INDEX(Inputs!$B$5:$B$8,MATCH(E$4,Inputs!$A$5:$A$8,0))</f>
        <v>0.241666666666667</v>
      </c>
      <c r="F6" s="40" t="n">
        <f aca="false">SUMIFS(Inputs!$D$13:$D$48,Inputs!$A$13:$A$48,$A6)/Inputs!$B$9</f>
        <v>0.170526315789474</v>
      </c>
      <c r="G6" s="15" t="n">
        <f aca="false">Inputs!$G$6</f>
        <v>0.75</v>
      </c>
      <c r="H6" s="40" t="n">
        <f aca="false">SUMIFS(Inputs!$C$13:$C$48,Inputs!$A$13:$A$48,$A6)/Inputs!$B$9</f>
        <v>0.48</v>
      </c>
      <c r="I6" s="41" t="n">
        <f aca="false">SUMPRODUCT((Inputs!$A$13:$A$48=$A6)*Inputs!$E$13:$E$48*Inputs!$F$13:$F$48)/SUMIFS(Inputs!$E$13:$E$48,Inputs!$A$13:$A$48,$A6)</f>
        <v>3.08631578947368</v>
      </c>
      <c r="J6" s="21" t="n">
        <f aca="false">Inputs!$G$7</f>
        <v>4</v>
      </c>
      <c r="K6" s="42" t="n">
        <f aca="false">SUMIFS(Inputs!$G$13:$G$48,Inputs!$A$13:$A$48,$A6)/Inputs!$B$9*100</f>
        <v>6.94736842105263</v>
      </c>
      <c r="L6" s="21" t="n">
        <f aca="false">Inputs!$G$8</f>
        <v>5</v>
      </c>
    </row>
    <row r="7" customFormat="false" ht="15" hidden="false" customHeight="false" outlineLevel="0" collapsed="false">
      <c r="A7" s="32" t="n">
        <v>3</v>
      </c>
      <c r="B7" s="40" t="n">
        <f aca="false">SUMIFS(Inputs!$D$13:$D$48,Inputs!$A$13:$A$48,$A7,Inputs!$B$13:$B$48,B$4)/INDEX(Inputs!$B$5:$B$8,MATCH(B$4,Inputs!$A$5:$A$8,0))</f>
        <v>0.360526315789474</v>
      </c>
      <c r="C7" s="40" t="n">
        <f aca="false">SUMIFS(Inputs!$D$13:$D$48,Inputs!$A$13:$A$48,$A7,Inputs!$B$13:$B$48,C$4)/INDEX(Inputs!$B$5:$B$8,MATCH(C$4,Inputs!$A$5:$A$8,0))</f>
        <v>0.27</v>
      </c>
      <c r="D7" s="40" t="n">
        <f aca="false">SUMIFS(Inputs!$D$13:$D$48,Inputs!$A$13:$A$48,$A7,Inputs!$B$13:$B$48,D$4)/INDEX(Inputs!$B$5:$B$8,MATCH(D$4,Inputs!$A$5:$A$8,0))</f>
        <v>0.18</v>
      </c>
      <c r="E7" s="40" t="n">
        <f aca="false">SUMIFS(Inputs!$D$13:$D$48,Inputs!$A$13:$A$48,$A7,Inputs!$B$13:$B$48,E$4)/INDEX(Inputs!$B$5:$B$8,MATCH(E$4,Inputs!$A$5:$A$8,0))</f>
        <v>0.4</v>
      </c>
      <c r="F7" s="40" t="n">
        <f aca="false">SUMIFS(Inputs!$D$13:$D$48,Inputs!$A$13:$A$48,$A7)/Inputs!$B$9</f>
        <v>0.308421052631579</v>
      </c>
      <c r="G7" s="15" t="n">
        <f aca="false">Inputs!$G$6</f>
        <v>0.75</v>
      </c>
      <c r="H7" s="40" t="n">
        <f aca="false">SUMIFS(Inputs!$C$13:$C$48,Inputs!$A$13:$A$48,$A7)/Inputs!$B$9</f>
        <v>0.744210526315789</v>
      </c>
      <c r="I7" s="41" t="n">
        <f aca="false">SUMPRODUCT((Inputs!$A$13:$A$48=$A7)*Inputs!$E$13:$E$48*Inputs!$F$13:$F$48)/SUMIFS(Inputs!$E$13:$E$48,Inputs!$A$13:$A$48,$A7)</f>
        <v>3.27052631578947</v>
      </c>
      <c r="J7" s="21" t="n">
        <f aca="false">Inputs!$G$7</f>
        <v>4</v>
      </c>
      <c r="K7" s="42" t="n">
        <f aca="false">SUMIFS(Inputs!$G$13:$G$48,Inputs!$A$13:$A$48,$A7)/Inputs!$B$9*100</f>
        <v>9.05263157894737</v>
      </c>
      <c r="L7" s="21" t="n">
        <f aca="false">Inputs!$G$8</f>
        <v>5</v>
      </c>
    </row>
    <row r="8" customFormat="false" ht="15" hidden="false" customHeight="false" outlineLevel="0" collapsed="false">
      <c r="A8" s="32" t="n">
        <v>4</v>
      </c>
      <c r="B8" s="40" t="n">
        <f aca="false">SUMIFS(Inputs!$D$13:$D$48,Inputs!$A$13:$A$48,$A8,Inputs!$B$13:$B$48,B$4)/INDEX(Inputs!$B$5:$B$8,MATCH(B$4,Inputs!$A$5:$A$8,0))</f>
        <v>0.5</v>
      </c>
      <c r="C8" s="40" t="n">
        <f aca="false">SUMIFS(Inputs!$D$13:$D$48,Inputs!$A$13:$A$48,$A8,Inputs!$B$13:$B$48,C$4)/INDEX(Inputs!$B$5:$B$8,MATCH(C$4,Inputs!$A$5:$A$8,0))</f>
        <v>0.4</v>
      </c>
      <c r="D8" s="40" t="n">
        <f aca="false">SUMIFS(Inputs!$D$13:$D$48,Inputs!$A$13:$A$48,$A8,Inputs!$B$13:$B$48,D$4)/INDEX(Inputs!$B$5:$B$8,MATCH(D$4,Inputs!$A$5:$A$8,0))</f>
        <v>0.28</v>
      </c>
      <c r="E8" s="40" t="n">
        <f aca="false">SUMIFS(Inputs!$D$13:$D$48,Inputs!$A$13:$A$48,$A8,Inputs!$B$13:$B$48,E$4)/INDEX(Inputs!$B$5:$B$8,MATCH(E$4,Inputs!$A$5:$A$8,0))</f>
        <v>0.541666666666667</v>
      </c>
      <c r="F8" s="40" t="n">
        <f aca="false">SUMIFS(Inputs!$D$13:$D$48,Inputs!$A$13:$A$48,$A8)/Inputs!$B$9</f>
        <v>0.438947368421053</v>
      </c>
      <c r="G8" s="15" t="n">
        <f aca="false">Inputs!$G$6</f>
        <v>0.75</v>
      </c>
      <c r="H8" s="40" t="n">
        <f aca="false">SUMIFS(Inputs!$C$13:$C$48,Inputs!$A$13:$A$48,$A8)/Inputs!$B$9</f>
        <v>0.905263157894737</v>
      </c>
      <c r="I8" s="41" t="n">
        <f aca="false">SUMPRODUCT((Inputs!$A$13:$A$48=$A8)*Inputs!$E$13:$E$48*Inputs!$F$13:$F$48)/SUMIFS(Inputs!$E$13:$E$48,Inputs!$A$13:$A$48,$A8)</f>
        <v>3.47052631578947</v>
      </c>
      <c r="J8" s="21" t="n">
        <f aca="false">Inputs!$G$7</f>
        <v>4</v>
      </c>
      <c r="K8" s="42" t="n">
        <f aca="false">SUMIFS(Inputs!$G$13:$G$48,Inputs!$A$13:$A$48,$A8)/Inputs!$B$9*100</f>
        <v>8</v>
      </c>
      <c r="L8" s="21" t="n">
        <f aca="false">Inputs!$G$8</f>
        <v>5</v>
      </c>
    </row>
    <row r="9" customFormat="false" ht="15" hidden="false" customHeight="false" outlineLevel="0" collapsed="false">
      <c r="A9" s="32" t="n">
        <v>5</v>
      </c>
      <c r="B9" s="40" t="n">
        <f aca="false">SUMIFS(Inputs!$D$13:$D$48,Inputs!$A$13:$A$48,$A9,Inputs!$B$13:$B$48,B$4)/INDEX(Inputs!$B$5:$B$8,MATCH(B$4,Inputs!$A$5:$A$8,0))</f>
        <v>0.6</v>
      </c>
      <c r="C9" s="40" t="n">
        <f aca="false">SUMIFS(Inputs!$D$13:$D$48,Inputs!$A$13:$A$48,$A9,Inputs!$B$13:$B$48,C$4)/INDEX(Inputs!$B$5:$B$8,MATCH(C$4,Inputs!$A$5:$A$8,0))</f>
        <v>0.5</v>
      </c>
      <c r="D9" s="40" t="n">
        <f aca="false">SUMIFS(Inputs!$D$13:$D$48,Inputs!$A$13:$A$48,$A9,Inputs!$B$13:$B$48,D$4)/INDEX(Inputs!$B$5:$B$8,MATCH(D$4,Inputs!$A$5:$A$8,0))</f>
        <v>0.36</v>
      </c>
      <c r="E9" s="40" t="n">
        <f aca="false">SUMIFS(Inputs!$D$13:$D$48,Inputs!$A$13:$A$48,$A9,Inputs!$B$13:$B$48,E$4)/INDEX(Inputs!$B$5:$B$8,MATCH(E$4,Inputs!$A$5:$A$8,0))</f>
        <v>0.633333333333333</v>
      </c>
      <c r="F9" s="40" t="n">
        <f aca="false">SUMIFS(Inputs!$D$13:$D$48,Inputs!$A$13:$A$48,$A9)/Inputs!$B$9</f>
        <v>0.534736842105263</v>
      </c>
      <c r="G9" s="15" t="n">
        <f aca="false">Inputs!$G$6</f>
        <v>0.75</v>
      </c>
      <c r="H9" s="40" t="n">
        <f aca="false">SUMIFS(Inputs!$C$13:$C$48,Inputs!$A$13:$A$48,$A9)/Inputs!$B$9</f>
        <v>0.933684210526316</v>
      </c>
      <c r="I9" s="41" t="n">
        <f aca="false">SUMPRODUCT((Inputs!$A$13:$A$48=$A9)*Inputs!$E$13:$E$48*Inputs!$F$13:$F$48)/SUMIFS(Inputs!$E$13:$E$48,Inputs!$A$13:$A$48,$A9)</f>
        <v>3.65789473684211</v>
      </c>
      <c r="J9" s="21" t="n">
        <f aca="false">Inputs!$G$7</f>
        <v>4</v>
      </c>
      <c r="K9" s="42" t="n">
        <f aca="false">SUMIFS(Inputs!$G$13:$G$48,Inputs!$A$13:$A$48,$A9)/Inputs!$B$9*100</f>
        <v>6</v>
      </c>
      <c r="L9" s="21" t="n">
        <f aca="false">Inputs!$G$8</f>
        <v>5</v>
      </c>
    </row>
    <row r="10" customFormat="false" ht="15" hidden="false" customHeight="false" outlineLevel="0" collapsed="false">
      <c r="A10" s="32" t="n">
        <v>6</v>
      </c>
      <c r="B10" s="40" t="n">
        <f aca="false">SUMIFS(Inputs!$D$13:$D$48,Inputs!$A$13:$A$48,$A10,Inputs!$B$13:$B$48,B$4)/INDEX(Inputs!$B$5:$B$8,MATCH(B$4,Inputs!$A$5:$A$8,0))</f>
        <v>0.678947368421053</v>
      </c>
      <c r="C10" s="40" t="n">
        <f aca="false">SUMIFS(Inputs!$D$13:$D$48,Inputs!$A$13:$A$48,$A10,Inputs!$B$13:$B$48,C$4)/INDEX(Inputs!$B$5:$B$8,MATCH(C$4,Inputs!$A$5:$A$8,0))</f>
        <v>0.58</v>
      </c>
      <c r="D10" s="40" t="n">
        <f aca="false">SUMIFS(Inputs!$D$13:$D$48,Inputs!$A$13:$A$48,$A10,Inputs!$B$13:$B$48,D$4)/INDEX(Inputs!$B$5:$B$8,MATCH(D$4,Inputs!$A$5:$A$8,0))</f>
        <v>0.426666666666667</v>
      </c>
      <c r="E10" s="40" t="n">
        <f aca="false">SUMIFS(Inputs!$D$13:$D$48,Inputs!$A$13:$A$48,$A10,Inputs!$B$13:$B$48,E$4)/INDEX(Inputs!$B$5:$B$8,MATCH(E$4,Inputs!$A$5:$A$8,0))</f>
        <v>0.683333333333333</v>
      </c>
      <c r="F10" s="40" t="n">
        <f aca="false">SUMIFS(Inputs!$D$13:$D$48,Inputs!$A$13:$A$48,$A10)/Inputs!$B$9</f>
        <v>0.608421052631579</v>
      </c>
      <c r="G10" s="15" t="n">
        <f aca="false">Inputs!$G$6</f>
        <v>0.75</v>
      </c>
      <c r="H10" s="40" t="n">
        <f aca="false">SUMIFS(Inputs!$C$13:$C$48,Inputs!$A$13:$A$48,$A10)/Inputs!$B$9</f>
        <v>0.94</v>
      </c>
      <c r="I10" s="41" t="n">
        <f aca="false">SUMPRODUCT((Inputs!$A$13:$A$48=$A10)*Inputs!$E$13:$E$48*Inputs!$F$13:$F$48)/SUMIFS(Inputs!$E$13:$E$48,Inputs!$A$13:$A$48,$A10)</f>
        <v>3.75789473684211</v>
      </c>
      <c r="J10" s="21" t="n">
        <f aca="false">Inputs!$G$7</f>
        <v>4</v>
      </c>
      <c r="K10" s="42" t="n">
        <f aca="false">SUMIFS(Inputs!$G$13:$G$48,Inputs!$A$13:$A$48,$A10)/Inputs!$B$9*100</f>
        <v>5.05263157894737</v>
      </c>
      <c r="L10" s="21" t="n">
        <f aca="false">Inputs!$G$8</f>
        <v>5</v>
      </c>
    </row>
    <row r="11" customFormat="false" ht="15" hidden="false" customHeight="false" outlineLevel="0" collapsed="false">
      <c r="A11" s="32" t="n">
        <v>7</v>
      </c>
      <c r="B11" s="40" t="n">
        <f aca="false">SUMIFS(Inputs!$D$13:$D$48,Inputs!$A$13:$A$48,$A11,Inputs!$B$13:$B$48,B$4)/INDEX(Inputs!$B$5:$B$8,MATCH(B$4,Inputs!$A$5:$A$8,0))</f>
        <v>0.728947368421053</v>
      </c>
      <c r="C11" s="40" t="n">
        <f aca="false">SUMIFS(Inputs!$D$13:$D$48,Inputs!$A$13:$A$48,$A11,Inputs!$B$13:$B$48,C$4)/INDEX(Inputs!$B$5:$B$8,MATCH(C$4,Inputs!$A$5:$A$8,0))</f>
        <v>0.64</v>
      </c>
      <c r="D11" s="40" t="n">
        <f aca="false">SUMIFS(Inputs!$D$13:$D$48,Inputs!$A$13:$A$48,$A11,Inputs!$B$13:$B$48,D$4)/INDEX(Inputs!$B$5:$B$8,MATCH(D$4,Inputs!$A$5:$A$8,0))</f>
        <v>0.493333333333333</v>
      </c>
      <c r="E11" s="40" t="n">
        <f aca="false">SUMIFS(Inputs!$D$13:$D$48,Inputs!$A$13:$A$48,$A11,Inputs!$B$13:$B$48,E$4)/INDEX(Inputs!$B$5:$B$8,MATCH(E$4,Inputs!$A$5:$A$8,0))</f>
        <v>0.7</v>
      </c>
      <c r="F11" s="40" t="n">
        <f aca="false">SUMIFS(Inputs!$D$13:$D$48,Inputs!$A$13:$A$48,$A11)/Inputs!$B$9</f>
        <v>0.66</v>
      </c>
      <c r="G11" s="15" t="n">
        <f aca="false">Inputs!$G$6</f>
        <v>0.75</v>
      </c>
      <c r="H11" s="40" t="n">
        <f aca="false">SUMIFS(Inputs!$C$13:$C$48,Inputs!$A$13:$A$48,$A11)/Inputs!$B$9</f>
        <v>0.946315789473684</v>
      </c>
      <c r="I11" s="41" t="n">
        <f aca="false">SUMPRODUCT((Inputs!$A$13:$A$48=$A11)*Inputs!$E$13:$E$48*Inputs!$F$13:$F$48)/SUMIFS(Inputs!$E$13:$E$48,Inputs!$A$13:$A$48,$A11)</f>
        <v>3.84526315789474</v>
      </c>
      <c r="J11" s="21" t="n">
        <f aca="false">Inputs!$G$7</f>
        <v>4</v>
      </c>
      <c r="K11" s="42" t="n">
        <f aca="false">SUMIFS(Inputs!$G$13:$G$48,Inputs!$A$13:$A$48,$A11)/Inputs!$B$9*100</f>
        <v>4</v>
      </c>
      <c r="L11" s="21" t="n">
        <f aca="false">Inputs!$G$8</f>
        <v>5</v>
      </c>
    </row>
    <row r="12" customFormat="false" ht="15" hidden="false" customHeight="false" outlineLevel="0" collapsed="false">
      <c r="A12" s="32" t="n">
        <v>8</v>
      </c>
      <c r="B12" s="40" t="n">
        <f aca="false">SUMIFS(Inputs!$D$13:$D$48,Inputs!$A$13:$A$48,$A12,Inputs!$B$13:$B$48,B$4)/INDEX(Inputs!$B$5:$B$8,MATCH(B$4,Inputs!$A$5:$A$8,0))</f>
        <v>0.760526315789474</v>
      </c>
      <c r="C12" s="40" t="n">
        <f aca="false">SUMIFS(Inputs!$D$13:$D$48,Inputs!$A$13:$A$48,$A12,Inputs!$B$13:$B$48,C$4)/INDEX(Inputs!$B$5:$B$8,MATCH(C$4,Inputs!$A$5:$A$8,0))</f>
        <v>0.68</v>
      </c>
      <c r="D12" s="40" t="n">
        <f aca="false">SUMIFS(Inputs!$D$13:$D$48,Inputs!$A$13:$A$48,$A12,Inputs!$B$13:$B$48,D$4)/INDEX(Inputs!$B$5:$B$8,MATCH(D$4,Inputs!$A$5:$A$8,0))</f>
        <v>0.533333333333333</v>
      </c>
      <c r="E12" s="40" t="n">
        <f aca="false">SUMIFS(Inputs!$D$13:$D$48,Inputs!$A$13:$A$48,$A12,Inputs!$B$13:$B$48,E$4)/INDEX(Inputs!$B$5:$B$8,MATCH(E$4,Inputs!$A$5:$A$8,0))</f>
        <v>0.708333333333333</v>
      </c>
      <c r="F12" s="40" t="n">
        <f aca="false">SUMIFS(Inputs!$D$13:$D$48,Inputs!$A$13:$A$48,$A12)/Inputs!$B$9</f>
        <v>0.692631578947368</v>
      </c>
      <c r="G12" s="15" t="n">
        <f aca="false">Inputs!$G$6</f>
        <v>0.75</v>
      </c>
      <c r="H12" s="40" t="n">
        <f aca="false">SUMIFS(Inputs!$C$13:$C$48,Inputs!$A$13:$A$48,$A12)/Inputs!$B$9</f>
        <v>0.951578947368421</v>
      </c>
      <c r="I12" s="41" t="n">
        <f aca="false">SUMPRODUCT((Inputs!$A$13:$A$48=$A12)*Inputs!$E$13:$E$48*Inputs!$F$13:$F$48)/SUMIFS(Inputs!$E$13:$E$48,Inputs!$A$13:$A$48,$A12)</f>
        <v>3.94526315789474</v>
      </c>
      <c r="J12" s="21" t="n">
        <f aca="false">Inputs!$G$7</f>
        <v>4</v>
      </c>
      <c r="K12" s="42" t="n">
        <f aca="false">SUMIFS(Inputs!$G$13:$G$48,Inputs!$A$13:$A$48,$A12)/Inputs!$B$9*100</f>
        <v>3.36842105263158</v>
      </c>
      <c r="L12" s="21" t="n">
        <f aca="false">Inputs!$G$8</f>
        <v>5</v>
      </c>
    </row>
    <row r="13" customFormat="false" ht="15" hidden="false" customHeight="false" outlineLevel="0" collapsed="false">
      <c r="A13" s="32" t="n">
        <v>9</v>
      </c>
      <c r="B13" s="40" t="n">
        <f aca="false">SUMIFS(Inputs!$D$13:$D$48,Inputs!$A$13:$A$48,$A13,Inputs!$B$13:$B$48,B$4)/INDEX(Inputs!$B$5:$B$8,MATCH(B$4,Inputs!$A$5:$A$8,0))</f>
        <v>0.778947368421053</v>
      </c>
      <c r="C13" s="40" t="n">
        <f aca="false">SUMIFS(Inputs!$D$13:$D$48,Inputs!$A$13:$A$48,$A13,Inputs!$B$13:$B$48,C$4)/INDEX(Inputs!$B$5:$B$8,MATCH(C$4,Inputs!$A$5:$A$8,0))</f>
        <v>0.7</v>
      </c>
      <c r="D13" s="40" t="n">
        <f aca="false">SUMIFS(Inputs!$D$13:$D$48,Inputs!$A$13:$A$48,$A13,Inputs!$B$13:$B$48,D$4)/INDEX(Inputs!$B$5:$B$8,MATCH(D$4,Inputs!$A$5:$A$8,0))</f>
        <v>0.56</v>
      </c>
      <c r="E13" s="40" t="n">
        <f aca="false">SUMIFS(Inputs!$D$13:$D$48,Inputs!$A$13:$A$48,$A13,Inputs!$B$13:$B$48,E$4)/INDEX(Inputs!$B$5:$B$8,MATCH(E$4,Inputs!$A$5:$A$8,0))</f>
        <v>0.716666666666667</v>
      </c>
      <c r="F13" s="40" t="n">
        <f aca="false">SUMIFS(Inputs!$D$13:$D$48,Inputs!$A$13:$A$48,$A13)/Inputs!$B$9</f>
        <v>0.711578947368421</v>
      </c>
      <c r="G13" s="15" t="n">
        <f aca="false">Inputs!$G$6</f>
        <v>0.75</v>
      </c>
      <c r="H13" s="40" t="n">
        <f aca="false">SUMIFS(Inputs!$C$13:$C$48,Inputs!$A$13:$A$48,$A13)/Inputs!$B$9</f>
        <v>0.951578947368421</v>
      </c>
      <c r="I13" s="41" t="n">
        <f aca="false">SUMPRODUCT((Inputs!$A$13:$A$48=$A13)*Inputs!$E$13:$E$48*Inputs!$F$13:$F$48)/SUMIFS(Inputs!$E$13:$E$48,Inputs!$A$13:$A$48,$A13)</f>
        <v>3.96105263157895</v>
      </c>
      <c r="J13" s="21" t="n">
        <f aca="false">Inputs!$G$7</f>
        <v>4</v>
      </c>
      <c r="K13" s="42" t="n">
        <f aca="false">SUMIFS(Inputs!$G$13:$G$48,Inputs!$A$13:$A$48,$A13)/Inputs!$B$9*100</f>
        <v>2.94736842105263</v>
      </c>
      <c r="L13" s="21" t="n">
        <f aca="false">Inputs!$G$8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2026-09-18T19:31:41Z</dcterms:created>
  <dc:creator>openpyxl</dc:creator>
  <dc:description/>
  <dc:language>en-US</dc:language>
  <cp:lastModifiedBy/>
  <dcterms:modified xsi:type="dcterms:W3CDTF">2026-09-18T19:31:43Z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